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20c95eef4e4d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ler combinations" sheetId="1" r:id="Rfe6e02d32240431e"/>
    <x:sheet xmlns:r="http://schemas.openxmlformats.org/officeDocument/2006/relationships" name="Account map" sheetId="2" r:id="Rbc298954fa94400e"/>
    <x:sheet xmlns:r="http://schemas.openxmlformats.org/officeDocument/2006/relationships" name="Forms and timing" sheetId="3" r:id="Ra52c871c5e184e50"/>
    <x:sheet xmlns:r="http://schemas.openxmlformats.org/officeDocument/2006/relationships" name="8 percent example" sheetId="4" r:id="R77677f2f488a430c"/>
    <x:sheet xmlns:r="http://schemas.openxmlformats.org/officeDocument/2006/relationships" name="Sources" sheetId="5" r:id="R4b775ee4e2b440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yyyy-mm-dd"/>
    <x:numFmt numFmtId="202" formatCode="#,##0.00;[Red](#,##0.00);–"/>
    <x:numFmt numFmtId="203" formatCode="#,##0.00"/>
  </x:numFmts>
  <x:fonts count="7">
    <x:font>
      <x:sz val="11"/>
      <x:name val="Carlito"/>
    </x:font>
    <x:font>
      <x:b/>
      <x:sz val="15"/>
      <x:color rgb="FF17324D"/>
      <x:name val="Arial"/>
    </x:font>
    <x:font>
      <x:i/>
      <x:sz val="10"/>
      <x:color rgb="FF526474"/>
      <x:name val="Arial"/>
    </x:font>
    <x:font>
      <x:sz val="10"/>
      <x:color rgb="FF526474"/>
      <x:name val="Arial"/>
    </x:font>
    <x:font>
      <x:b/>
      <x:sz val="10"/>
      <x:color rgb="FFFFFFFF"/>
      <x:name val="Arial"/>
    </x:font>
    <x:font>
      <x:sz val="10"/>
      <x:color rgb="FF1C2935"/>
      <x:name val="Arial"/>
    </x:font>
    <x:font>
      <x:b/>
      <x:sz val="10"/>
      <x:color rgb="FF17324D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4F7FA"/>
      </x:patternFill>
    </x:fill>
    <x:fill>
      <x:patternFill patternType="solid">
        <x:fgColor rgb="FFFFF1CC"/>
      </x:patternFill>
    </x:fill>
    <x:fill>
      <x:patternFill patternType="solid">
        <x:fgColor rgb="FFEAF2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200" fontId="0" fillId="4" borderId="0" xfId="0" applyNumberFormat="1" applyFont="1" applyFill="1" applyBorder="1"/>
    <x:xf numFmtId="201" fontId="0" fillId="0" borderId="0" xfId="0" applyNumberFormat="1" applyFont="1" applyFill="1" applyBorder="1"/>
    <x:xf numFmtId="201" fontId="0" fillId="4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 applyAlignment="1">
      <x:alignment vertical="center"/>
    </x:xf>
    <x:xf numFmtId="200" fontId="0" fillId="4" borderId="0" xfId="0" applyNumberFormat="1" applyFont="1" applyFill="1" applyBorder="1" applyAlignment="1">
      <x:alignment vertical="center"/>
    </x:xf>
    <x:xf numFmtId="201" fontId="0" fillId="4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2" fontId="6" fillId="5" borderId="0" xfId="0" applyNumberFormat="1" applyFont="1" applyFill="1" applyBorder="1" applyAlignment="1">
      <x:alignment vertical="center"/>
    </x:xf>
    <x:xf numFmtId="203" fontId="0" fillId="4" borderId="0" xfId="0" applyNumberFormat="1" applyFont="1" applyFill="1" applyBorder="1" applyAlignment="1">
      <x:alignment vertical="center"/>
    </x:xf>
    <x:xf numFmtId="202" fontId="0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ee7045122349ed" /><Relationship Type="http://schemas.openxmlformats.org/officeDocument/2006/relationships/theme" Target="/xl/theme/theme1.xml" Id="Rf9e9a17f018b4304" /><Relationship Type="http://schemas.openxmlformats.org/officeDocument/2006/relationships/sharedStrings" Target="/xl/sharedStrings.xml" Id="R3fe26bb34cf44087" /><Relationship Type="http://schemas.openxmlformats.org/officeDocument/2006/relationships/worksheet" Target="/xl/worksheets/sheet1.xml" Id="Rfe6e02d32240431e" /><Relationship Type="http://schemas.openxmlformats.org/officeDocument/2006/relationships/worksheet" Target="/xl/worksheets/sheet2.xml" Id="Rbc298954fa94400e" /><Relationship Type="http://schemas.openxmlformats.org/officeDocument/2006/relationships/worksheet" Target="/xl/worksheets/sheet3.xml" Id="Ra52c871c5e184e50" /><Relationship Type="http://schemas.openxmlformats.org/officeDocument/2006/relationships/worksheet" Target="/xl/worksheets/sheet4.xml" Id="R77677f2f488a430c" /><Relationship Type="http://schemas.openxmlformats.org/officeDocument/2006/relationships/worksheet" Target="/xl/worksheets/sheet5.xml" Id="R4b775ee4e2b440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25" hidden="0" customWidth="1"/>
    <x:col min="3" max="3" width="32" hidden="0" customWidth="1"/>
    <x:col min="4" max="4" width="30" hidden="0" customWidth="1"/>
    <x:col min="5" max="5" width="30" hidden="0" customWidth="1"/>
    <x:col min="6" max="6" width="48" hidden="0" customWidth="1"/>
    <x:col min="7" max="7" width="16" hidden="0" customWidth="1"/>
  </x:cols>
  <x:sheetData>
    <x:row r="1" ht="24" customHeight="1">
      <x:c r="A1" s="1" t="str">
        <x:v>Philippine filer combinations</x:v>
      </x:c>
    </x:row>
    <x:row r="2" ht="24" customHeight="1">
      <x:c r="A2" s="2" t="str">
        <x:v>Read a base row, then add the payroll, withholding or one-time rows that apply.</x:v>
      </x:c>
    </x:row>
    <x:row r="3" ht="24" customHeight="1">
      <x:c r="A3" s="3" t="str">
        <x:v>Research date: 28 Oct 2026. Check the taxpayer’s registration, period, elections and current BIR instructions.</x:v>
      </x:c>
    </x:row>
    <x:row r="5" ht="32" customHeight="1">
      <x:c r="A5" s="7" t="str">
        <x:v>Filer / trigger</x:v>
      </x:c>
      <x:c r="B5" s="7" t="str">
        <x:v>Income-tax method</x:v>
      </x:c>
      <x:c r="C5" s="7" t="str">
        <x:v>Annual income return / main forms</x:v>
      </x:c>
      <x:c r="D5" s="7" t="str">
        <x:v>Quarterly or periodic</x:v>
      </x:c>
      <x:c r="E5" s="7" t="str">
        <x:v>Business tax</x:v>
      </x:c>
      <x:c r="F5" s="7" t="str">
        <x:v>Important conditions</x:v>
      </x:c>
      <x:c r="G5" s="7" t="str">
        <x:v>Sources</x:v>
      </x:c>
    </x:row>
    <x:row r="6" ht="49" customHeight="1">
      <x:c r="A6" s="10" t="str">
        <x:v>Employee, one PH employer; correct withholding</x:v>
      </x:c>
      <x:c r="B6" s="10" t="str">
        <x:v>Compensation only</x:v>
      </x:c>
      <x:c r="C6" s="10" t="str">
        <x:v>Employer issues 2316; substituted filing if conditions met</x:v>
      </x:c>
      <x:c r="D6" s="10" t="str">
        <x:v>No separate 1700 if qualified</x:v>
      </x:c>
      <x:c r="E6" s="10" t="str">
        <x:v>None for ordinary employment income</x:v>
      </x:c>
      <x:c r="F6" s="10" t="str">
        <x:v>Employer: 1601-C and 1604-C; employee keeps 2316</x:v>
      </x:c>
      <x:c r="G6" s="10" t="str">
        <x:v>S1, S9</x:v>
      </x:c>
    </x:row>
    <x:row r="7" ht="49" customHeight="1">
      <x:c r="A7" s="11" t="str">
        <x:v>Employee; multiple employers or withholding incorrect</x:v>
      </x:c>
      <x:c r="B7" s="11" t="str">
        <x:v>Compensation only</x:v>
      </x:c>
      <x:c r="C7" s="11" t="str">
        <x:v>1700 when required</x:v>
      </x:c>
      <x:c r="D7" s="11" t="str">
        <x:v>Annual 1700</x:v>
      </x:c>
      <x:c r="E7" s="11" t="str">
        <x:v>None for ordinary employment income</x:v>
      </x:c>
      <x:c r="F7" s="11" t="str">
        <x:v>Use all applicable 2316s; substitution conditions fail</x:v>
      </x:c>
      <x:c r="G7" s="11" t="str">
        <x:v>S1, S9</x:v>
      </x:c>
    </x:row>
    <x:row r="8" ht="49" customHeight="1">
      <x:c r="A8" s="10" t="str">
        <x:v>Pure business / freelancer; non-VAT</x:v>
      </x:c>
      <x:c r="B8" s="10" t="str">
        <x:v>8% validly elected</x:v>
      </x:c>
      <x:c r="C8" s="10" t="str">
        <x:v>1701A or eligible 1701-MS</x:v>
      </x:c>
      <x:c r="D8" s="10" t="str">
        <x:v>1701Q for Q1–Q3</x:v>
      </x:c>
      <x:c r="E8" s="10" t="str">
        <x:v>8% replaces Section 116 3% tax</x:v>
      </x:c>
      <x:c r="F8" s="10" t="str">
        <x:v>250,000 reduction applies once; other obligations can still apply</x:v>
      </x:c>
      <x:c r="G8" s="10" t="str">
        <x:v>S2, S3</x:v>
      </x:c>
    </x:row>
    <x:row r="9" ht="49" customHeight="1">
      <x:c r="A9" s="11" t="str">
        <x:v>Pure business / freelancer; non-VAT</x:v>
      </x:c>
      <x:c r="B9" s="11" t="str">
        <x:v>Graduated + optional standard deduction</x:v>
      </x:c>
      <x:c r="C9" s="11" t="str">
        <x:v>1701A or eligible 1701-MS</x:v>
      </x:c>
      <x:c r="D9" s="11" t="str">
        <x:v>1701Q for Q1–Q3</x:v>
      </x:c>
      <x:c r="E9" s="11" t="str">
        <x:v>2551Q if Section 116 applies</x:v>
      </x:c>
      <x:c r="F9" s="11" t="str">
        <x:v>OSD is generally 40% of individual gross sales; check eligibility</x:v>
      </x:c>
      <x:c r="G9" s="11" t="str">
        <x:v>S1, S2, S4</x:v>
      </x:c>
    </x:row>
    <x:row r="10" ht="49" customHeight="1">
      <x:c r="A10" s="10" t="str">
        <x:v>Pure business / freelancer; non-VAT</x:v>
      </x:c>
      <x:c r="B10" s="10" t="str">
        <x:v>Graduated + itemized deductions</x:v>
      </x:c>
      <x:c r="C10" s="10" t="str">
        <x:v>1701 or eligible 1701-MS</x:v>
      </x:c>
      <x:c r="D10" s="10" t="str">
        <x:v>1701Q for Q1–Q3</x:v>
      </x:c>
      <x:c r="E10" s="10" t="str">
        <x:v>2551Q if Section 116 applies</x:v>
      </x:c>
      <x:c r="F10" s="10" t="str">
        <x:v>Track deductible expenses, inventory/cost, adjustments and proof</x:v>
      </x:c>
      <x:c r="G10" s="10" t="str">
        <x:v>S1, S3, S4</x:v>
      </x:c>
    </x:row>
    <x:row r="11" ht="49" customHeight="1">
      <x:c r="A11" s="11" t="str">
        <x:v>Pure business / freelancer; VAT registered</x:v>
      </x:c>
      <x:c r="B11" s="11" t="str">
        <x:v>Graduated + optional standard deduction</x:v>
      </x:c>
      <x:c r="C11" s="11" t="str">
        <x:v>1701A or eligible 1701-MS</x:v>
      </x:c>
      <x:c r="D11" s="11" t="str">
        <x:v>1701Q for Q1–Q3</x:v>
      </x:c>
      <x:c r="E11" s="11" t="str">
        <x:v>2550Q</x:v>
      </x:c>
      <x:c r="F11" s="11" t="str">
        <x:v>8% unavailable to VAT-registered taxpayer</x:v>
      </x:c>
      <x:c r="G11" s="11" t="str">
        <x:v>S1, S2, S5</x:v>
      </x:c>
    </x:row>
    <x:row r="12" ht="49" customHeight="1">
      <x:c r="A12" s="10" t="str">
        <x:v>Pure business / freelancer; VAT registered</x:v>
      </x:c>
      <x:c r="B12" s="10" t="str">
        <x:v>Graduated + itemized deductions</x:v>
      </x:c>
      <x:c r="C12" s="10" t="str">
        <x:v>1701 or eligible 1701-MS</x:v>
      </x:c>
      <x:c r="D12" s="10" t="str">
        <x:v>1701Q for Q1–Q3</x:v>
      </x:c>
      <x:c r="E12" s="10" t="str">
        <x:v>2550Q</x:v>
      </x:c>
      <x:c r="F12" s="10" t="str">
        <x:v>Classify taxable, zero-rated and exempt sales</x:v>
      </x:c>
      <x:c r="G12" s="10" t="str">
        <x:v>S1, S3, S5</x:v>
      </x:c>
    </x:row>
    <x:row r="13" ht="49" customHeight="1">
      <x:c r="A13" s="11" t="str">
        <x:v>Employee plus business; non-VAT</x:v>
      </x:c>
      <x:c r="B13" s="11" t="str">
        <x:v>8% on business income; graduated compensation</x:v>
      </x:c>
      <x:c r="C13" s="11" t="str">
        <x:v>1701 or eligible 1701-MS</x:v>
      </x:c>
      <x:c r="D13" s="11" t="str">
        <x:v>1701Q for Q1–Q3</x:v>
      </x:c>
      <x:c r="E13" s="11" t="str">
        <x:v>8% replaces Section 116 3% tax</x:v>
      </x:c>
      <x:c r="F13" s="11" t="str">
        <x:v>No 250,000 reduction on 8% business component; obtain 2316</x:v>
      </x:c>
      <x:c r="G13" s="11" t="str">
        <x:v>S1, S2, S3</x:v>
      </x:c>
    </x:row>
    <x:row r="14" ht="49" customHeight="1">
      <x:c r="A14" s="10" t="str">
        <x:v>Employee plus business; non-VAT</x:v>
      </x:c>
      <x:c r="B14" s="10" t="str">
        <x:v>Graduated + OSD or itemized</x:v>
      </x:c>
      <x:c r="C14" s="10" t="str">
        <x:v>1701 or eligible 1701-MS</x:v>
      </x:c>
      <x:c r="D14" s="10" t="str">
        <x:v>1701Q for Q1–Q3</x:v>
      </x:c>
      <x:c r="E14" s="10" t="str">
        <x:v>2551Q if Section 116 applies</x:v>
      </x:c>
      <x:c r="F14" s="10" t="str">
        <x:v>Compensation is combined on annual return</x:v>
      </x:c>
      <x:c r="G14" s="10" t="str">
        <x:v>S1, S3, S4</x:v>
      </x:c>
    </x:row>
    <x:row r="15" ht="49" customHeight="1">
      <x:c r="A15" s="11" t="str">
        <x:v>Employee plus business; VAT registered</x:v>
      </x:c>
      <x:c r="B15" s="11" t="str">
        <x:v>Graduated + OSD or itemized</x:v>
      </x:c>
      <x:c r="C15" s="11" t="str">
        <x:v>1701 or eligible 1701-MS</x:v>
      </x:c>
      <x:c r="D15" s="11" t="str">
        <x:v>1701Q for Q1–Q3</x:v>
      </x:c>
      <x:c r="E15" s="11" t="str">
        <x:v>2550Q</x:v>
      </x:c>
      <x:c r="F15" s="11" t="str">
        <x:v>Use compensation records and the business ledgers</x:v>
      </x:c>
      <x:c r="G15" s="11" t="str">
        <x:v>S1, S3, S5</x:v>
      </x:c>
    </x:row>
    <x:row r="16" ht="49" customHeight="1">
      <x:c r="A16" s="10" t="str">
        <x:v>8% filer later exceeds eligibility ceiling</x:v>
      </x:c>
      <x:c r="B16" s="10" t="str">
        <x:v>Switch to graduated rates for taxable year</x:v>
      </x:c>
      <x:c r="C16" s="10" t="str">
        <x:v>1701 or eligible 1701-MS, as applicable</x:v>
      </x:c>
      <x:c r="D16" s="10" t="str">
        <x:v>1701Q as applicable; prior tax paid credited</x:v>
      </x:c>
      <x:c r="E16" s="10" t="str">
        <x:v>Section 116 and VAT may both arise for different periods</x:v>
      </x:c>
      <x:c r="F16" s="10" t="str">
        <x:v>Update registration; transition depends on the specific threshold and timing</x:v>
      </x:c>
      <x:c r="G16" s="10" t="str">
        <x:v>S2</x:v>
      </x:c>
    </x:row>
    <x:row r="17" ht="49" customHeight="1">
      <x:c r="A17" s="11" t="str">
        <x:v>Ordinary domestic corporation or taxable partnership; non-VAT</x:v>
      </x:c>
      <x:c r="B17" s="11" t="str">
        <x:v>Regular corporate rate</x:v>
      </x:c>
      <x:c r="C17" s="11" t="str">
        <x:v>1702-RT</x:v>
      </x:c>
      <x:c r="D17" s="11" t="str">
        <x:v>1702Q first three quarters</x:v>
      </x:c>
      <x:c r="E17" s="11" t="str">
        <x:v>2551Q if Section 116 applies</x:v>
      </x:c>
      <x:c r="F17" s="11" t="str">
        <x:v>Withholding and payroll forms are additional when applicable</x:v>
      </x:c>
      <x:c r="G17" s="11" t="str">
        <x:v>S1, S4, S8</x:v>
      </x:c>
    </x:row>
    <x:row r="18" ht="49" customHeight="1">
      <x:c r="A18" s="10" t="str">
        <x:v>Ordinary domestic corporation, including OPC; VAT registered</x:v>
      </x:c>
      <x:c r="B18" s="10" t="str">
        <x:v>Regular corporate rate</x:v>
      </x:c>
      <x:c r="C18" s="10" t="str">
        <x:v>1702-RT</x:v>
      </x:c>
      <x:c r="D18" s="10" t="str">
        <x:v>1702Q first three quarters</x:v>
      </x:c>
      <x:c r="E18" s="10" t="str">
        <x:v>2550Q</x:v>
      </x:c>
      <x:c r="F18" s="10" t="str">
        <x:v>A corporation cannot elect the individual 8% rate</x:v>
      </x:c>
      <x:c r="G18" s="10" t="str">
        <x:v>S1, S5, S8</x:v>
      </x:c>
    </x:row>
    <x:row r="19" ht="49" customHeight="1">
      <x:c r="A19" s="11" t="str">
        <x:v>Entity with both taxable and preferential-rate income</x:v>
      </x:c>
      <x:c r="B19" s="11" t="str">
        <x:v>Multiple / special / preferential rates</x:v>
      </x:c>
      <x:c r="C19" s="11" t="str">
        <x:v>1702-MX</x:v>
      </x:c>
      <x:c r="D19" s="11" t="str">
        <x:v>1702Q as applicable</x:v>
      </x:c>
      <x:c r="E19" s="11" t="str">
        <x:v>2550Q, 2551Q or other tax based on activities</x:v>
      </x:c>
      <x:c r="F19" s="11" t="str">
        <x:v>Separate income, costs, transactions and tax incentives</x:v>
      </x:c>
      <x:c r="G19" s="11" t="str">
        <x:v>S1, S8</x:v>
      </x:c>
    </x:row>
    <x:row r="20" ht="49" customHeight="1">
      <x:c r="A20" s="10" t="str">
        <x:v>Exempt entity or general professional partnership</x:v>
      </x:c>
      <x:c r="B20" s="10" t="str">
        <x:v>Exempt, with no other taxable income</x:v>
      </x:c>
      <x:c r="C20" s="10" t="str">
        <x:v>1702-EX</x:v>
      </x:c>
      <x:c r="D20" s="10" t="str">
        <x:v>Check quarterly and registration obligations</x:v>
      </x:c>
      <x:c r="E20" s="10" t="str">
        <x:v>Business tax and withholding assessed separately</x:v>
      </x:c>
      <x:c r="F20" s="10" t="str">
        <x:v>A GPP partner reports distributive share separately; 8% not available for that share</x:v>
      </x:c>
      <x:c r="G20" s="10" t="str">
        <x:v>S1, S2</x:v>
      </x:c>
    </x:row>
    <x:row r="21" ht="49" customHeight="1">
      <x:c r="A21" s="11" t="str">
        <x:v>Estate / trust earning business income</x:v>
      </x:c>
      <x:c r="B21" s="11" t="str">
        <x:v>Income-tax treatment depends on facts</x:v>
      </x:c>
      <x:c r="C21" s="11" t="str">
        <x:v>1701 where required</x:v>
      </x:c>
      <x:c r="D21" s="11" t="str">
        <x:v>1701Q where required</x:v>
      </x:c>
      <x:c r="E21" s="11" t="str">
        <x:v>2550Q / 2551Q only when applicable</x:v>
      </x:c>
      <x:c r="F21" s="11" t="str">
        <x:v>Estate transfer tax uses 1801; it is separate from income tax</x:v>
      </x:c>
      <x:c r="G21" s="11" t="str">
        <x:v>S1, S14</x:v>
      </x:c>
    </x:row>
    <x:row r="22" ht="49" customHeight="1">
      <x:c r="A22" s="10" t="str">
        <x:v>Business with employees</x:v>
      </x:c>
      <x:c r="B22" s="10" t="str">
        <x:v>Add payroll withholding</x:v>
      </x:c>
      <x:c r="C22" s="10" t="str">
        <x:v>1601-C monthly; 1604-C annually</x:v>
      </x:c>
      <x:c r="D22" s="10" t="str">
        <x:v>Issue 2316 to employees</x:v>
      </x:c>
      <x:c r="E22" s="10" t="str">
        <x:v>No change merely because employees are hired</x:v>
      </x:c>
      <x:c r="F22" s="10" t="str">
        <x:v>Payroll withholding is withheld from workers and remitted by employer</x:v>
      </x:c>
      <x:c r="G22" s="10" t="str">
        <x:v>S6, S7</x:v>
      </x:c>
    </x:row>
    <x:row r="23" ht="49" customHeight="1">
      <x:c r="A23" s="11" t="str">
        <x:v>Business required to withhold on suppliers</x:v>
      </x:c>
      <x:c r="B23" s="11" t="str">
        <x:v>Add expanded withholding</x:v>
      </x:c>
      <x:c r="C23" s="11" t="str">
        <x:v>0619-E, 1601-EQ, QAP, 1604-E</x:v>
      </x:c>
      <x:c r="D23" s="11" t="str">
        <x:v>0619-E first two months; 1601-EQ quarterly</x:v>
      </x:c>
      <x:c r="E23" s="11" t="str">
        <x:v>No change merely because supplier tax is withheld</x:v>
      </x:c>
      <x:c r="F23" s="11" t="str">
        <x:v>Issue 2307; determine withholding agent, nature, ATC and rate</x:v>
      </x:c>
      <x:c r="G23" s="11" t="str">
        <x:v>S6, S7</x:v>
      </x:c>
    </x:row>
    <x:row r="24" ht="49" customHeight="1">
      <x:c r="A24" s="10" t="str">
        <x:v>Business with final withholding obligation</x:v>
      </x:c>
      <x:c r="B24" s="10" t="str">
        <x:v>Add final withholding</x:v>
      </x:c>
      <x:c r="C24" s="10" t="str">
        <x:v>0619-F, 1601-FQ, 1604-F as applicable</x:v>
      </x:c>
      <x:c r="D24" s="10" t="str">
        <x:v>First two months and quarterly, as applicable</x:v>
      </x:c>
      <x:c r="E24" s="10" t="str">
        <x:v>No automatic substitution for income or VAT forms</x:v>
      </x:c>
      <x:c r="F24" s="10" t="str">
        <x:v>Special returns can apply depending on payment; issue 2306 where applicable</x:v>
      </x:c>
      <x:c r="G24" s="10" t="str">
        <x:v>S6, S7</x:v>
      </x:c>
    </x:row>
    <x:row r="25" ht="49" customHeight="1">
      <x:c r="A25" s="11" t="str">
        <x:v>One-time property or shares transfer</x:v>
      </x:c>
      <x:c r="B25" s="11" t="str">
        <x:v>Transaction-specific tax</x:v>
      </x:c>
      <x:c r="C25" s="11" t="str">
        <x:v>1706 for applicable real-property capital assets; 1707 for applicable unlisted shares</x:v>
      </x:c>
      <x:c r="D25" s="11" t="str">
        <x:v>On each covered transfer</x:v>
      </x:c>
      <x:c r="E25" s="11" t="str">
        <x:v>Other taxes may also apply, including DST</x:v>
      </x:c>
      <x:c r="F25" s="11" t="str">
        <x:v>1707-A is an additional annual consolidation where required</x:v>
      </x:c>
      <x:c r="G25" s="11" t="str">
        <x:v>S13</x:v>
      </x:c>
    </x:row>
    <x:row r="26" ht="49" customHeight="1">
      <x:c r="A26" s="10" t="str">
        <x:v>Gift or decedent estate</x:v>
      </x:c>
      <x:c r="B26" s="10" t="str">
        <x:v>Transfer tax</x:v>
      </x:c>
      <x:c r="C26" s="10" t="str">
        <x:v>1800 donor; 1801 estate</x:v>
      </x:c>
      <x:c r="D26" s="10" t="str">
        <x:v>Event-driven</x:v>
      </x:c>
      <x:c r="E26" s="10" t="str">
        <x:v>Income / VAT obligations are separate</x:v>
      </x:c>
      <x:c r="F26" s="10" t="str">
        <x:v>Scope, thresholds, exemptions and filing duties depend on facts</x:v>
      </x:c>
      <x:c r="G26" s="10" t="str">
        <x:v>S14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20" hidden="0" customWidth="1"/>
    <x:col min="3" max="3" width="35" hidden="0" customWidth="1"/>
    <x:col min="4" max="4" width="42" hidden="0" customWidth="1"/>
    <x:col min="5" max="5" width="42" hidden="0" customWidth="1"/>
    <x:col min="6" max="6" width="39" hidden="0" customWidth="1"/>
    <x:col min="7" max="7" width="29" hidden="0" customWidth="1"/>
    <x:col min="8" max="8" width="14" hidden="0" customWidth="1"/>
  </x:cols>
  <x:sheetData>
    <x:row r="1" ht="24" customHeight="1">
      <x:c r="A1" s="1" t="str">
        <x:v>Accounts and tax destinations</x:v>
      </x:c>
    </x:row>
    <x:row r="2" ht="24" customHeight="1">
      <x:c r="A2" s="2" t="str">
        <x:v>A category is a starting point. Each transaction also needs legal, VAT, timing and withholding attributes.</x:v>
      </x:c>
    </x:row>
    <x:row r="3" ht="24" customHeight="1">
      <x:c r="A3" s="3" t="str">
        <x:v>Amounts may be reportable in more than one form. Deductions, credits and VAT treatment require eligibility and support.</x:v>
      </x:c>
    </x:row>
    <x:row r="5" ht="32" customHeight="1">
      <x:c r="A5" s="7" t="str">
        <x:v>Account / classification</x:v>
      </x:c>
      <x:c r="B5" s="7" t="str">
        <x:v>Book type</x:v>
      </x:c>
      <x:c r="C5" s="7" t="str">
        <x:v>What it represents</x:v>
      </x:c>
      <x:c r="D5" s="7" t="str">
        <x:v>Income-tax destination</x:v>
      </x:c>
      <x:c r="E5" s="7" t="str">
        <x:v>VAT / percentage-tax destination</x:v>
      </x:c>
      <x:c r="F5" s="7" t="str">
        <x:v>Withholding destination</x:v>
      </x:c>
      <x:c r="G5" s="7" t="str">
        <x:v>Evidence</x:v>
      </x:c>
      <x:c r="H5" s="7" t="str">
        <x:v>Sources</x:v>
      </x:c>
    </x:row>
    <x:row r="6" ht="49" customHeight="1">
      <x:c r="A6" s="10" t="str">
        <x:v>Service revenue</x:v>
      </x:c>
      <x:c r="B6" s="10" t="str">
        <x:v>Income</x:v>
      </x:c>
      <x:c r="C6" s="10" t="str">
        <x:v>Full invoiced business service amount</x:v>
      </x:c>
      <x:c r="D6" s="10" t="str">
        <x:v>1701Q and annual 1701 / 1701A / 1701-MS; or 1702 series</x:v>
      </x:c>
      <x:c r="E6" s="10" t="str">
        <x:v>2550Q taxable / zero-rated / exempt or 2551Q if applicable</x:v>
      </x:c>
      <x:c r="F6" s="10" t="str">
        <x:v>2307 received if customer withholds</x:v>
      </x:c>
      <x:c r="G6" s="10" t="str">
        <x:v>Invoice, customer and tax classification</x:v>
      </x:c>
      <x:c r="H6" s="10" t="str">
        <x:v>S1, S5, S11</x:v>
      </x:c>
    </x:row>
    <x:row r="7" ht="49" customHeight="1">
      <x:c r="A7" s="11" t="str">
        <x:v>Merchandise sales</x:v>
      </x:c>
      <x:c r="B7" s="11" t="str">
        <x:v>Income</x:v>
      </x:c>
      <x:c r="C7" s="11" t="str">
        <x:v>Gross sales, excluding separately stated VAT</x:v>
      </x:c>
      <x:c r="D7" s="11" t="str">
        <x:v>Same income returns</x:v>
      </x:c>
      <x:c r="E7" s="11" t="str">
        <x:v>2550Q by VAT treatment or 2551Q when applicable</x:v>
      </x:c>
      <x:c r="F7" s="11" t="str">
        <x:v>2307 received when applicable</x:v>
      </x:c>
      <x:c r="G7" s="11" t="str">
        <x:v>Invoice, sale date, product tax treatment</x:v>
      </x:c>
      <x:c r="H7" s="11" t="str">
        <x:v>S1, S5</x:v>
      </x:c>
    </x:row>
    <x:row r="8" ht="49" customHeight="1">
      <x:c r="A8" s="10" t="str">
        <x:v>Sales returns and allowances</x:v>
      </x:c>
      <x:c r="B8" s="10" t="str">
        <x:v>Contra-income</x:v>
      </x:c>
      <x:c r="C8" s="10" t="str">
        <x:v>Documented refunds, credits and adjustments</x:v>
      </x:c>
      <x:c r="D8" s="10" t="str">
        <x:v>Reduce sales subject to form and tax rules</x:v>
      </x:c>
      <x:c r="E8" s="10" t="str">
        <x:v>Adjust output tax / sales when permitted</x:v>
      </x:c>
      <x:c r="F8" s="10" t="str">
        <x:v>Adjust withholding if required</x:v>
      </x:c>
      <x:c r="G8" s="10" t="str">
        <x:v>Credit note, original invoice</x:v>
      </x:c>
      <x:c r="H8" s="10" t="str">
        <x:v>S5, S11</x:v>
      </x:c>
    </x:row>
    <x:row r="9" ht="49" customHeight="1">
      <x:c r="A9" s="11" t="str">
        <x:v>Other business income</x:v>
      </x:c>
      <x:c r="B9" s="11" t="str">
        <x:v>Income</x:v>
      </x:c>
      <x:c r="C9" s="11" t="str">
        <x:v>Income that is not ordinary operating sales</x:v>
      </x:c>
      <x:c r="D9" s="11" t="str">
        <x:v>Other taxable income if applicable; include eligible items in 8% test/base</x:v>
      </x:c>
      <x:c r="E9" s="11" t="str">
        <x:v>Business tax depends on the transaction</x:v>
      </x:c>
      <x:c r="F9" s="11" t="str">
        <x:v>Withholding may apply</x:v>
      </x:c>
      <x:c r="G9" s="11" t="str">
        <x:v>Contract and settlement</x:v>
      </x:c>
      <x:c r="H9" s="11" t="str">
        <x:v>S2</x:v>
      </x:c>
    </x:row>
    <x:row r="10" ht="49" customHeight="1">
      <x:c r="A10" s="10" t="str">
        <x:v>Bank interest subject to final tax</x:v>
      </x:c>
      <x:c r="B10" s="10" t="str">
        <x:v>Income</x:v>
      </x:c>
      <x:c r="C10" s="10" t="str">
        <x:v>Separately identify income taxed finally</x:v>
      </x:c>
      <x:c r="D10" s="10" t="str">
        <x:v>Usually separately disclosed, not ordinary graduated/8% business base</x:v>
      </x:c>
      <x:c r="E10" s="10" t="str">
        <x:v>No automatic VAT consequence</x:v>
      </x:c>
      <x:c r="F10" s="10" t="str">
        <x:v>Final withholding is not 2307 CWT</x:v>
      </x:c>
      <x:c r="G10" s="10" t="str">
        <x:v>Bank statement, final tax evidence</x:v>
      </x:c>
      <x:c r="H10" s="10" t="str">
        <x:v>S4</x:v>
      </x:c>
    </x:row>
    <x:row r="11" ht="49" customHeight="1">
      <x:c r="A11" s="11" t="str">
        <x:v>VATable sales</x:v>
      </x:c>
      <x:c r="B11" s="11" t="str">
        <x:v>Tax attribute</x:v>
      </x:c>
      <x:c r="C11" s="11" t="str">
        <x:v>Base taxed at standard VAT rate when applicable</x:v>
      </x:c>
      <x:c r="D11" s="11" t="str">
        <x:v>Income return uses sales net of VAT</x:v>
      </x:c>
      <x:c r="E11" s="11" t="str">
        <x:v>2550Q taxable sales; output VAT</x:v>
      </x:c>
      <x:c r="F11" s="11" t="str">
        <x:v>Customer withholding is separate</x:v>
      </x:c>
      <x:c r="G11" s="11" t="str">
        <x:v>Valid invoice</x:v>
      </x:c>
      <x:c r="H11" s="11" t="str">
        <x:v>S5, S11</x:v>
      </x:c>
    </x:row>
    <x:row r="12" ht="49" customHeight="1">
      <x:c r="A12" s="10" t="str">
        <x:v>Zero-rated sales</x:v>
      </x:c>
      <x:c r="B12" s="10" t="str">
        <x:v>Tax attribute</x:v>
      </x:c>
      <x:c r="C12" s="10" t="str">
        <x:v>Qualifying 0% sales with evidence</x:v>
      </x:c>
      <x:c r="D12" s="10" t="str">
        <x:v>Income return includes income when taxable</x:v>
      </x:c>
      <x:c r="E12" s="10" t="str">
        <x:v>2550Q zero-rated sales; input VAT eligibility rules apply</x:v>
      </x:c>
      <x:c r="F12" s="10" t="str">
        <x:v>Possible CWT based on facts</x:v>
      </x:c>
      <x:c r="G12" s="10" t="str">
        <x:v>Contracts and zero-rating proof</x:v>
      </x:c>
      <x:c r="H12" s="10" t="str">
        <x:v>S5</x:v>
      </x:c>
    </x:row>
    <x:row r="13" ht="49" customHeight="1">
      <x:c r="A13" s="11" t="str">
        <x:v>VAT-exempt sales</x:v>
      </x:c>
      <x:c r="B13" s="11" t="str">
        <x:v>Tax attribute</x:v>
      </x:c>
      <x:c r="C13" s="11" t="str">
        <x:v>Legally exempt transaction</x:v>
      </x:c>
      <x:c r="D13" s="11" t="str">
        <x:v>Income-tax status assessed separately</x:v>
      </x:c>
      <x:c r="E13" s="11" t="str">
        <x:v>2550Q exempt sales if applicable; no automatic input credit</x:v>
      </x:c>
      <x:c r="F13" s="11" t="str">
        <x:v>No automatic withholding conclusion</x:v>
      </x:c>
      <x:c r="G13" s="11" t="str">
        <x:v>Invoice and exemption evidence</x:v>
      </x:c>
      <x:c r="H13" s="11" t="str">
        <x:v>S5</x:v>
      </x:c>
    </x:row>
    <x:row r="14" ht="49" customHeight="1">
      <x:c r="A14" s="10" t="str">
        <x:v>Non-VAT Section 116 sales</x:v>
      </x:c>
      <x:c r="B14" s="10" t="str">
        <x:v>Tax attribute</x:v>
      </x:c>
      <x:c r="C14" s="10" t="str">
        <x:v>Eligible non-VAT sales base</x:v>
      </x:c>
      <x:c r="D14" s="10" t="str">
        <x:v>Business income return as applicable</x:v>
      </x:c>
      <x:c r="E14" s="10" t="str">
        <x:v>2551Q Section 116; 8% election can replace it</x:v>
      </x:c>
      <x:c r="F14" s="10" t="str">
        <x:v>CWT remains separate</x:v>
      </x:c>
      <x:c r="G14" s="10" t="str">
        <x:v>Invoice, registration, election</x:v>
      </x:c>
      <x:c r="H14" s="10" t="str">
        <x:v>S2, S4</x:v>
      </x:c>
    </x:row>
    <x:row r="15" ht="49" customHeight="1">
      <x:c r="A15" s="11" t="str">
        <x:v>Output VAT</x:v>
      </x:c>
      <x:c r="B15" s="11" t="str">
        <x:v>Liability</x:v>
      </x:c>
      <x:c r="C15" s="11" t="str">
        <x:v>VAT collected or billed on taxable sales</x:v>
      </x:c>
      <x:c r="D15" s="11" t="str">
        <x:v>Not ordinary revenue</x:v>
      </x:c>
      <x:c r="E15" s="11" t="str">
        <x:v>2550Q output VAT and adjustments</x:v>
      </x:c>
      <x:c r="F15" s="11" t="str">
        <x:v>Not income tax withheld</x:v>
      </x:c>
      <x:c r="G15" s="11" t="str">
        <x:v>VAT invoices and sales register</x:v>
      </x:c>
      <x:c r="H15" s="11" t="str">
        <x:v>S5</x:v>
      </x:c>
    </x:row>
    <x:row r="16" ht="49" customHeight="1">
      <x:c r="A16" s="10" t="str">
        <x:v>Input VAT: goods</x:v>
      </x:c>
      <x:c r="B16" s="10" t="str">
        <x:v>Asset / tax credit</x:v>
      </x:c>
      <x:c r="C16" s="10" t="str">
        <x:v>Potentially creditable VAT on eligible purchases</x:v>
      </x:c>
      <x:c r="D16" s="10" t="str">
        <x:v>Generally separate from expense where creditable</x:v>
      </x:c>
      <x:c r="E16" s="10" t="str">
        <x:v>2550Q input tax on goods, subject to conditions</x:v>
      </x:c>
      <x:c r="F16" s="10" t="str">
        <x:v>Supplier withholding assessed separately</x:v>
      </x:c>
      <x:c r="G16" s="10" t="str">
        <x:v>Valid supplier VAT invoice</x:v>
      </x:c>
      <x:c r="H16" s="10" t="str">
        <x:v>S5, S11</x:v>
      </x:c>
    </x:row>
    <x:row r="17" ht="49" customHeight="1">
      <x:c r="A17" s="11" t="str">
        <x:v>Input VAT: capital goods</x:v>
      </x:c>
      <x:c r="B17" s="11" t="str">
        <x:v>Asset / tax credit</x:v>
      </x:c>
      <x:c r="C17" s="11" t="str">
        <x:v>Potentially creditable VAT on qualifying capital purchases</x:v>
      </x:c>
      <x:c r="D17" s="11" t="str">
        <x:v>Asset cost and depreciation separate</x:v>
      </x:c>
      <x:c r="E17" s="11" t="str">
        <x:v>2550Q capital-goods input tax, subject to conditions</x:v>
      </x:c>
      <x:c r="F17" s="11" t="str">
        <x:v>Supplier withholding assessed separately</x:v>
      </x:c>
      <x:c r="G17" s="11" t="str">
        <x:v>Supplier invoice and asset register</x:v>
      </x:c>
      <x:c r="H17" s="11" t="str">
        <x:v>S5</x:v>
      </x:c>
    </x:row>
    <x:row r="18" ht="49" customHeight="1">
      <x:c r="A18" s="10" t="str">
        <x:v>Input VAT: services</x:v>
      </x:c>
      <x:c r="B18" s="10" t="str">
        <x:v>Asset / tax credit</x:v>
      </x:c>
      <x:c r="C18" s="10" t="str">
        <x:v>Potentially creditable VAT on qualifying services</x:v>
      </x:c>
      <x:c r="D18" s="10" t="str">
        <x:v>Service expense is recorded net of creditable VAT</x:v>
      </x:c>
      <x:c r="E18" s="10" t="str">
        <x:v>2550Q input tax on services, subject to conditions</x:v>
      </x:c>
      <x:c r="F18" s="10" t="str">
        <x:v>Withholding assessed by transaction</x:v>
      </x:c>
      <x:c r="G18" s="10" t="str">
        <x:v>Valid supplier VAT invoice</x:v>
      </x:c>
      <x:c r="H18" s="10" t="str">
        <x:v>S5, S11</x:v>
      </x:c>
    </x:row>
    <x:row r="19" ht="49" customHeight="1">
      <x:c r="A19" s="11" t="str">
        <x:v>Inventory purchases</x:v>
      </x:c>
      <x:c r="B19" s="11" t="str">
        <x:v>Asset / cost</x:v>
      </x:c>
      <x:c r="C19" s="11" t="str">
        <x:v>Goods acquired for resale</x:v>
      </x:c>
      <x:c r="D19" s="11" t="str">
        <x:v>Flows to cost of sales when sold under accounting/tax rules</x:v>
      </x:c>
      <x:c r="E19" s="11" t="str">
        <x:v>VAT treatment depends on supplier and purchase</x:v>
      </x:c>
      <x:c r="F19" s="11" t="str">
        <x:v>Possible withholding based on payor and transaction</x:v>
      </x:c>
      <x:c r="G19" s="11" t="str">
        <x:v>Invoice and inventory records</x:v>
      </x:c>
      <x:c r="H19" s="11" t="str">
        <x:v>S1, S5</x:v>
      </x:c>
    </x:row>
    <x:row r="20" ht="49" customHeight="1">
      <x:c r="A20" s="10" t="str">
        <x:v>Cost of sales / services</x:v>
      </x:c>
      <x:c r="B20" s="10" t="str">
        <x:v>Cost</x:v>
      </x:c>
      <x:c r="C20" s="10" t="str">
        <x:v>Cost attributable to products sold / services delivered</x:v>
      </x:c>
      <x:c r="D20" s="10" t="str">
        <x:v>Itemized income-tax computation; OSD has different mechanics</x:v>
      </x:c>
      <x:c r="E20" s="10" t="str">
        <x:v>Purchase-related input VAT if eligible</x:v>
      </x:c>
      <x:c r="F20" s="10" t="str">
        <x:v>Supplier withholding may apply</x:v>
      </x:c>
      <x:c r="G20" s="10" t="str">
        <x:v>Inventory and direct-cost schedules</x:v>
      </x:c>
      <x:c r="H20" s="10" t="str">
        <x:v>S1, S2</x:v>
      </x:c>
    </x:row>
    <x:row r="21" ht="49" customHeight="1">
      <x:c r="A21" s="11" t="str">
        <x:v>Rent</x:v>
      </x:c>
      <x:c r="B21" s="11" t="str">
        <x:v>Expense</x:v>
      </x:c>
      <x:c r="C21" s="11" t="str">
        <x:v>Business-use premises rental</x:v>
      </x:c>
      <x:c r="D21" s="11" t="str">
        <x:v>Potential itemized deduction subject to rules</x:v>
      </x:c>
      <x:c r="E21" s="11" t="str">
        <x:v>Potential input VAT, if eligible</x:v>
      </x:c>
      <x:c r="F21" s="11" t="str">
        <x:v>Potential 0619-E / 1601-EQ / 2307</x:v>
      </x:c>
      <x:c r="G21" s="11" t="str">
        <x:v>Lease and invoice</x:v>
      </x:c>
      <x:c r="H21" s="11" t="str">
        <x:v>S1, S6</x:v>
      </x:c>
    </x:row>
    <x:row r="22" ht="49" customHeight="1">
      <x:c r="A22" s="10" t="str">
        <x:v>Professional fees</x:v>
      </x:c>
      <x:c r="B22" s="10" t="str">
        <x:v>Expense</x:v>
      </x:c>
      <x:c r="C22" s="10" t="str">
        <x:v>Accounting, legal, consultancy fees</x:v>
      </x:c>
      <x:c r="D22" s="10" t="str">
        <x:v>Potential itemized deduction subject to rules</x:v>
      </x:c>
      <x:c r="E22" s="10" t="str">
        <x:v>Potential input VAT, if eligible</x:v>
      </x:c>
      <x:c r="F22" s="10" t="str">
        <x:v>Potential withholding and 2307</x:v>
      </x:c>
      <x:c r="G22" s="10" t="str">
        <x:v>Contract and invoice</x:v>
      </x:c>
      <x:c r="H22" s="10" t="str">
        <x:v>S1, S6</x:v>
      </x:c>
    </x:row>
    <x:row r="23" ht="49" customHeight="1">
      <x:c r="A23" s="11" t="str">
        <x:v>Office supplies</x:v>
      </x:c>
      <x:c r="B23" s="11" t="str">
        <x:v>Expense</x:v>
      </x:c>
      <x:c r="C23" s="11" t="str">
        <x:v>Consumables for business use</x:v>
      </x:c>
      <x:c r="D23" s="11" t="str">
        <x:v>Potential itemized deduction subject to rules</x:v>
      </x:c>
      <x:c r="E23" s="11" t="str">
        <x:v>Potential input VAT, if eligible</x:v>
      </x:c>
      <x:c r="F23" s="11" t="str">
        <x:v>Potential EWT depends on payor and transaction</x:v>
      </x:c>
      <x:c r="G23" s="11" t="str">
        <x:v>Supplier invoice</x:v>
      </x:c>
      <x:c r="H23" s="11" t="str">
        <x:v>S1, S5, S6</x:v>
      </x:c>
    </x:row>
    <x:row r="24" ht="49" customHeight="1">
      <x:c r="A24" s="10" t="str">
        <x:v>Utilities</x:v>
      </x:c>
      <x:c r="B24" s="10" t="str">
        <x:v>Expense</x:v>
      </x:c>
      <x:c r="C24" s="10" t="str">
        <x:v>Business power, water and communications</x:v>
      </x:c>
      <x:c r="D24" s="10" t="str">
        <x:v>Potential itemized deduction subject to rules</x:v>
      </x:c>
      <x:c r="E24" s="10" t="str">
        <x:v>Potential input VAT, if eligible</x:v>
      </x:c>
      <x:c r="F24" s="10" t="str">
        <x:v>Withholding depends on specific rules</x:v>
      </x:c>
      <x:c r="G24" s="10" t="str">
        <x:v>Bill and invoice</x:v>
      </x:c>
      <x:c r="H24" s="10" t="str">
        <x:v>S1, S5</x:v>
      </x:c>
    </x:row>
    <x:row r="25" ht="49" customHeight="1">
      <x:c r="A25" s="11" t="str">
        <x:v>Advertising and marketing</x:v>
      </x:c>
      <x:c r="B25" s="11" t="str">
        <x:v>Expense</x:v>
      </x:c>
      <x:c r="C25" s="11" t="str">
        <x:v>Promotion of business</x:v>
      </x:c>
      <x:c r="D25" s="11" t="str">
        <x:v>Potential itemized deduction subject to rules</x:v>
      </x:c>
      <x:c r="E25" s="11" t="str">
        <x:v>Potential input VAT; foreign/digital service needs separate review</x:v>
      </x:c>
      <x:c r="F25" s="11" t="str">
        <x:v>Possible EWT or other withholding</x:v>
      </x:c>
      <x:c r="G25" s="11" t="str">
        <x:v>Contracts and invoice</x:v>
      </x:c>
      <x:c r="H25" s="11" t="str">
        <x:v>S1, S5, S6</x:v>
      </x:c>
    </x:row>
    <x:row r="26" ht="49" customHeight="1">
      <x:c r="A26" s="10" t="str">
        <x:v>Travel and meals</x:v>
      </x:c>
      <x:c r="B26" s="10" t="str">
        <x:v>Expense</x:v>
      </x:c>
      <x:c r="C26" s="10" t="str">
        <x:v>Business travel and eligible representation</x:v>
      </x:c>
      <x:c r="D26" s="10" t="str">
        <x:v>Potential itemized deduction, subject to restrictions</x:v>
      </x:c>
      <x:c r="E26" s="10" t="str">
        <x:v>Input VAT only when eligible and substantiated</x:v>
      </x:c>
      <x:c r="F26" s="10" t="str">
        <x:v>Withholding is fact-specific</x:v>
      </x:c>
      <x:c r="G26" s="10" t="str">
        <x:v>Invoice and business purpose</x:v>
      </x:c>
      <x:c r="H26" s="10" t="str">
        <x:v>S1, S5</x:v>
      </x:c>
    </x:row>
    <x:row r="27" ht="49" customHeight="1">
      <x:c r="A27" s="11" t="str">
        <x:v>Salaries and wages</x:v>
      </x:c>
      <x:c r="B27" s="11" t="str">
        <x:v>Expense</x:v>
      </x:c>
      <x:c r="C27" s="11" t="str">
        <x:v>Gross compensation, not just take-home pay</x:v>
      </x:c>
      <x:c r="D27" s="11" t="str">
        <x:v>Potential itemized deduction</x:v>
      </x:c>
      <x:c r="E27" s="11" t="str">
        <x:v>No input VAT merely on payroll</x:v>
      </x:c>
      <x:c r="F27" s="11" t="str">
        <x:v>1601-C, 1604-C, 2316; contributions separately</x:v>
      </x:c>
      <x:c r="G27" s="11" t="str">
        <x:v>Payroll register</x:v>
      </x:c>
      <x:c r="H27" s="11" t="str">
        <x:v>S1, S6</x:v>
      </x:c>
    </x:row>
    <x:row r="28" ht="49" customHeight="1">
      <x:c r="A28" s="10" t="str">
        <x:v>Employer benefit contributions</x:v>
      </x:c>
      <x:c r="B28" s="10" t="str">
        <x:v>Expense / liability</x:v>
      </x:c>
      <x:c r="C28" s="10" t="str">
        <x:v>Employer share of statutory contributions</x:v>
      </x:c>
      <x:c r="D28" s="10" t="str">
        <x:v>Potential itemized deduction under rules</x:v>
      </x:c>
      <x:c r="E28" s="10" t="str">
        <x:v>Not automatically input VAT</x:v>
      </x:c>
      <x:c r="F28" s="10" t="str">
        <x:v>Separate SSS, PhilHealth, Pag-IBIG filings as applicable</x:v>
      </x:c>
      <x:c r="G28" s="10" t="str">
        <x:v>Payroll and agency remittances</x:v>
      </x:c>
      <x:c r="H28" s="10" t="str">
        <x:v>S1</x:v>
      </x:c>
    </x:row>
    <x:row r="29" ht="49" customHeight="1">
      <x:c r="A29" s="11" t="str">
        <x:v>Depreciation</x:v>
      </x:c>
      <x:c r="B29" s="11" t="str">
        <x:v>Expense</x:v>
      </x:c>
      <x:c r="C29" s="11" t="str">
        <x:v>Systematic expense from depreciable fixed assets</x:v>
      </x:c>
      <x:c r="D29" s="11" t="str">
        <x:v>Potential itemized deduction with tax adjustments</x:v>
      </x:c>
      <x:c r="E29" s="11" t="str">
        <x:v>Input VAT belongs to purchase treatment, not depreciation itself</x:v>
      </x:c>
      <x:c r="F29" s="11" t="str">
        <x:v>No automatic EWT on depreciation entry</x:v>
      </x:c>
      <x:c r="G29" s="11" t="str">
        <x:v>Fixed-asset schedule</x:v>
      </x:c>
      <x:c r="H29" s="11" t="str">
        <x:v>S1</x:v>
      </x:c>
    </x:row>
    <x:row r="30" ht="49" customHeight="1">
      <x:c r="A30" s="10" t="str">
        <x:v>Fixed asset purchase</x:v>
      </x:c>
      <x:c r="B30" s="10" t="str">
        <x:v>Asset</x:v>
      </x:c>
      <x:c r="C30" s="10" t="str">
        <x:v>Laptop, furniture, equipment; capitalization depends on facts</x:v>
      </x:c>
      <x:c r="D30" s="10" t="str">
        <x:v>Generally asset and depreciation, not automatically full deduction</x:v>
      </x:c>
      <x:c r="E30" s="10" t="str">
        <x:v>Possible capital-goods input VAT</x:v>
      </x:c>
      <x:c r="F30" s="10" t="str">
        <x:v>Supplier withholding if applicable</x:v>
      </x:c>
      <x:c r="G30" s="10" t="str">
        <x:v>Invoice and asset register</x:v>
      </x:c>
      <x:c r="H30" s="10" t="str">
        <x:v>S1, S5</x:v>
      </x:c>
    </x:row>
    <x:row r="31" ht="49" customHeight="1">
      <x:c r="A31" s="11" t="str">
        <x:v>Taxes and licenses</x:v>
      </x:c>
      <x:c r="B31" s="11" t="str">
        <x:v>Expense</x:v>
      </x:c>
      <x:c r="C31" s="11" t="str">
        <x:v>Business taxes and local permits</x:v>
      </x:c>
      <x:c r="D31" s="11" t="str">
        <x:v>Certain taxes deductible subject to rules; income tax generally not</x:v>
      </x:c>
      <x:c r="E31" s="11" t="str">
        <x:v>Payment of VAT is not additional input VAT</x:v>
      </x:c>
      <x:c r="F31" s="11" t="str">
        <x:v>No automatic withholding</x:v>
      </x:c>
      <x:c r="G31" s="11" t="str">
        <x:v>Official tax/payment proof</x:v>
      </x:c>
      <x:c r="H31" s="11" t="str">
        <x:v>S1</x:v>
      </x:c>
    </x:row>
    <x:row r="32" ht="49" customHeight="1">
      <x:c r="A32" s="10" t="str">
        <x:v>Section 116 percentage tax</x:v>
      </x:c>
      <x:c r="B32" s="10" t="str">
        <x:v>Tax expense / liability</x:v>
      </x:c>
      <x:c r="C32" s="10" t="str">
        <x:v>3% tax where legally applicable</x:v>
      </x:c>
      <x:c r="D32" s="10" t="str">
        <x:v>Potential business-tax deduction under itemized rules, subject to conditions</x:v>
      </x:c>
      <x:c r="E32" s="10" t="str">
        <x:v>2551Q; not input VAT</x:v>
      </x:c>
      <x:c r="F32" s="10" t="str">
        <x:v>Separate from withholding</x:v>
      </x:c>
      <x:c r="G32" s="10" t="str">
        <x:v>Filed return and payment receipt</x:v>
      </x:c>
      <x:c r="H32" s="10" t="str">
        <x:v>S4</x:v>
      </x:c>
    </x:row>
    <x:row r="33" ht="49" customHeight="1">
      <x:c r="A33" s="11" t="str">
        <x:v>Income tax expense / payable</x:v>
      </x:c>
      <x:c r="B33" s="11" t="str">
        <x:v>Tax expense / liability</x:v>
      </x:c>
      <x:c r="C33" s="11" t="str">
        <x:v>Tax on profit or 8% income base</x:v>
      </x:c>
      <x:c r="D33" s="11" t="str">
        <x:v>Generally not a deductible business expense</x:v>
      </x:c>
      <x:c r="E33" s="11" t="str">
        <x:v>No automatic business-tax mapping</x:v>
      </x:c>
      <x:c r="F33" s="11" t="str">
        <x:v>Offsets and tax credits tracked separately</x:v>
      </x:c>
      <x:c r="G33" s="11" t="str">
        <x:v>Return and payment receipt</x:v>
      </x:c>
      <x:c r="H33" s="11" t="str">
        <x:v>S1</x:v>
      </x:c>
    </x:row>
    <x:row r="34" ht="49" customHeight="1">
      <x:c r="A34" s="10" t="str">
        <x:v>Creditable tax withheld by customer</x:v>
      </x:c>
      <x:c r="B34" s="10" t="str">
        <x:v>Asset / income-tax credit</x:v>
      </x:c>
      <x:c r="C34" s="10" t="str">
        <x:v>CWT from Form 2307; not reduction of gross sale</x:v>
      </x:c>
      <x:c r="D34" s="10" t="str">
        <x:v>Creditable withholding in 1701Q / annual or 1702 returns, subject to conditions</x:v>
      </x:c>
      <x:c r="E34" s="10" t="str">
        <x:v>Not input VAT</x:v>
      </x:c>
      <x:c r="F34" s="10" t="str">
        <x:v>Customer issues 2307; SAWT if required</x:v>
      </x:c>
      <x:c r="G34" s="10" t="str">
        <x:v>2307 and matching sale</x:v>
      </x:c>
      <x:c r="H34" s="10" t="str">
        <x:v>S2, S6</x:v>
      </x:c>
    </x:row>
    <x:row r="35" ht="49" customHeight="1">
      <x:c r="A35" s="11" t="str">
        <x:v>EWT withheld from supplier</x:v>
      </x:c>
      <x:c r="B35" s="11" t="str">
        <x:v>Liability</x:v>
      </x:c>
      <x:c r="C35" s="11" t="str">
        <x:v>Amount withheld by business as withholding agent</x:v>
      </x:c>
      <x:c r="D35" s="11" t="str">
        <x:v>Expense still assessed at gross; tax is remitted separately</x:v>
      </x:c>
      <x:c r="E35" s="11" t="str">
        <x:v>Independent of input / output VAT</x:v>
      </x:c>
      <x:c r="F35" s="11" t="str">
        <x:v>0619-E, 1601-EQ, QAP, 1604-E, 2307</x:v>
      </x:c>
      <x:c r="G35" s="11" t="str">
        <x:v>Invoice, ATC, 2307, remittance</x:v>
      </x:c>
      <x:c r="H35" s="11" t="str">
        <x:v>S6, S7</x:v>
      </x:c>
    </x:row>
    <x:row r="36" ht="49" customHeight="1">
      <x:c r="A36" s="10" t="str">
        <x:v>Payroll tax withheld</x:v>
      </x:c>
      <x:c r="B36" s="10" t="str">
        <x:v>Liability</x:v>
      </x:c>
      <x:c r="C36" s="10" t="str">
        <x:v>Tax deducted from employee gross compensation</x:v>
      </x:c>
      <x:c r="D36" s="10" t="str">
        <x:v>Payroll expense at gross compensation</x:v>
      </x:c>
      <x:c r="E36" s="10" t="str">
        <x:v>Not output VAT</x:v>
      </x:c>
      <x:c r="F36" s="10" t="str">
        <x:v>1601-C, 1604-C, employee 2316</x:v>
      </x:c>
      <x:c r="G36" s="10" t="str">
        <x:v>Payroll register and remittances</x:v>
      </x:c>
      <x:c r="H36" s="10" t="str">
        <x:v>S6</x:v>
      </x:c>
    </x:row>
    <x:row r="37" ht="49" customHeight="1">
      <x:c r="A37" s="11" t="str">
        <x:v>Owner capital contribution</x:v>
      </x:c>
      <x:c r="B37" s="11" t="str">
        <x:v>Equity</x:v>
      </x:c>
      <x:c r="C37" s="11" t="str">
        <x:v>Owner invests funds into business</x:v>
      </x:c>
      <x:c r="D37" s="11" t="str">
        <x:v>Usually not operating sales</x:v>
      </x:c>
      <x:c r="E37" s="11" t="str">
        <x:v>Not automatically VAT sales</x:v>
      </x:c>
      <x:c r="F37" s="11" t="str">
        <x:v>No automatic withholding</x:v>
      </x:c>
      <x:c r="G37" s="11" t="str">
        <x:v>Bank record and capital documentation</x:v>
      </x:c>
      <x:c r="H37" s="11" t="str">
        <x:v>S1</x:v>
      </x:c>
    </x:row>
    <x:row r="38" ht="49" customHeight="1">
      <x:c r="A38" s="10" t="str">
        <x:v>Owner drawings</x:v>
      </x:c>
      <x:c r="B38" s="10" t="str">
        <x:v>Equity</x:v>
      </x:c>
      <x:c r="C38" s="10" t="str">
        <x:v>Sole proprietor takes business cash personally</x:v>
      </x:c>
      <x:c r="D38" s="10" t="str">
        <x:v>Not an ordinary business expense</x:v>
      </x:c>
      <x:c r="E38" s="10" t="str">
        <x:v>No automatic VAT conclusion for goods withdrawn</x:v>
      </x:c>
      <x:c r="F38" s="10" t="str">
        <x:v>No automatic withholding</x:v>
      </x:c>
      <x:c r="G38" s="10" t="str">
        <x:v>Bank record and owner ledger</x:v>
      </x:c>
      <x:c r="H38" s="10" t="str">
        <x:v>S1</x:v>
      </x:c>
    </x:row>
    <x:row r="39" ht="49" customHeight="1">
      <x:c r="A39" s="11" t="str">
        <x:v>Loan principal received / repaid</x:v>
      </x:c>
      <x:c r="B39" s="11" t="str">
        <x:v>Liability</x:v>
      </x:c>
      <x:c r="C39" s="11" t="str">
        <x:v>Cash funding or principal repayment</x:v>
      </x:c>
      <x:c r="D39" s="11" t="str">
        <x:v>Usually not income or a deductible operating expense</x:v>
      </x:c>
      <x:c r="E39" s="11" t="str">
        <x:v>No automatic VAT on principal</x:v>
      </x:c>
      <x:c r="F39" s="11" t="str">
        <x:v>Interest may need separate withholding review</x:v>
      </x:c>
      <x:c r="G39" s="11" t="str">
        <x:v>Loan agreement and statement</x:v>
      </x:c>
      <x:c r="H39" s="11" t="str">
        <x:v>S1</x:v>
      </x:c>
    </x:row>
    <x:row r="40" ht="49" customHeight="1">
      <x:c r="A40" s="10" t="str">
        <x:v>Bank transfer between own accounts</x:v>
      </x:c>
      <x:c r="B40" s="10" t="str">
        <x:v>Asset transfer</x:v>
      </x:c>
      <x:c r="C40" s="10" t="str">
        <x:v>Movement within the same business</x:v>
      </x:c>
      <x:c r="D40" s="10" t="str">
        <x:v>Not revenue or expense</x:v>
      </x:c>
      <x:c r="E40" s="10" t="str">
        <x:v>Not a sale</x:v>
      </x:c>
      <x:c r="F40" s="10" t="str">
        <x:v>No withholding merely for the transfer</x:v>
      </x:c>
      <x:c r="G40" s="10" t="str">
        <x:v>Bank statements</x:v>
      </x:c>
      <x:c r="H40" s="10" t="str">
        <x:v>S1</x:v>
      </x:c>
    </x:row>
    <x:row r="41" ht="49" customHeight="1">
      <x:c r="A41" s="11" t="str">
        <x:v>Customer receivable</x:v>
      </x:c>
      <x:c r="B41" s="11" t="str">
        <x:v>Asset</x:v>
      </x:c>
      <x:c r="C41" s="11" t="str">
        <x:v>Unpaid customer invoice</x:v>
      </x:c>
      <x:c r="D41" s="11" t="str">
        <x:v>Recognition depends on applicable method and rules</x:v>
      </x:c>
      <x:c r="E41" s="11" t="str">
        <x:v>EOPT business-tax invoice timing can precede collection</x:v>
      </x:c>
      <x:c r="F41" s="11" t="str">
        <x:v>CWT requires matching support and timing review</x:v>
      </x:c>
      <x:c r="G41" s="11" t="str">
        <x:v>Invoice and aging schedule</x:v>
      </x:c>
      <x:c r="H41" s="11" t="str">
        <x:v>S5, S11</x:v>
      </x:c>
    </x:row>
    <x:row r="42" ht="49" customHeight="1">
      <x:c r="A42" s="10" t="str">
        <x:v>Supplier payable</x:v>
      </x:c>
      <x:c r="B42" s="10" t="str">
        <x:v>Liability</x:v>
      </x:c>
      <x:c r="C42" s="10" t="str">
        <x:v>Unpaid vendor invoice</x:v>
      </x:c>
      <x:c r="D42" s="10" t="str">
        <x:v>Expense or asset depends on underlying transaction</x:v>
      </x:c>
      <x:c r="E42" s="10" t="str">
        <x:v>Input VAT depends on applicable rules</x:v>
      </x:c>
      <x:c r="F42" s="10" t="str">
        <x:v>Withholding timing needs separate review</x:v>
      </x:c>
      <x:c r="G42" s="10" t="str">
        <x:v>Invoice and payable schedule</x:v>
      </x:c>
      <x:c r="H42" s="10" t="str">
        <x:v>S6, S11</x:v>
      </x:c>
    </x:row>
    <x:row r="43" ht="49" customHeight="1">
      <x:c r="A43" s="11" t="str">
        <x:v>Prior income-tax payments</x:v>
      </x:c>
      <x:c r="B43" s="11" t="str">
        <x:v>Tax asset / payment</x:v>
      </x:c>
      <x:c r="C43" s="11" t="str">
        <x:v>Quarterly income-tax payments</x:v>
      </x:c>
      <x:c r="D43" s="11" t="str">
        <x:v>Credit against annual liability; avoid double counting</x:v>
      </x:c>
      <x:c r="E43" s="11" t="str">
        <x:v>Separate from VAT and percentage tax</x:v>
      </x:c>
      <x:c r="F43" s="11" t="str">
        <x:v>Not customer CWT</x:v>
      </x:c>
      <x:c r="G43" s="11" t="str">
        <x:v>Filed return and payment confirmation</x:v>
      </x:c>
      <x:c r="H43" s="11" t="str">
        <x:v>S2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30" hidden="0" customWidth="1"/>
    <x:col min="3" max="3" width="43" hidden="0" customWidth="1"/>
    <x:col min="4" max="4" width="46" hidden="0" customWidth="1"/>
    <x:col min="5" max="5" width="47" hidden="0" customWidth="1"/>
    <x:col min="6" max="6" width="14" hidden="0" customWidth="1"/>
  </x:cols>
  <x:sheetData>
    <x:row r="1" ht="24" customHeight="1">
      <x:c r="A1" s="1" t="str">
        <x:v>BIR forms and timing</x:v>
      </x:c>
    </x:row>
    <x:row r="2" ht="24" customHeight="1">
      <x:c r="A2" s="2" t="str">
        <x:v>Use the form appropriate to the taxpayer and transaction; returns, certificates and lists have different roles.</x:v>
      </x:c>
    </x:row>
    <x:row r="3" ht="24" customHeight="1">
      <x:c r="A3" s="3" t="str">
        <x:v>General deadlines can change for eFPS, weekends, holidays, extensions and particular taxpayers. Verify the BIR calendar.</x:v>
      </x:c>
    </x:row>
    <x:row r="5" ht="32" customHeight="1">
      <x:c r="A5" s="7" t="str">
        <x:v>Form / schedule</x:v>
      </x:c>
      <x:c r="B5" s="7" t="str">
        <x:v>Purpose</x:v>
      </x:c>
      <x:c r="C5" s="7" t="str">
        <x:v>When it applies</x:v>
      </x:c>
      <x:c r="D5" s="7" t="str">
        <x:v>General timing</x:v>
      </x:c>
      <x:c r="E5" s="7" t="str">
        <x:v>Main bookkeeping inputs</x:v>
      </x:c>
      <x:c r="F5" s="7" t="str">
        <x:v>Sources</x:v>
      </x:c>
    </x:row>
    <x:row r="6" ht="49" customHeight="1">
      <x:c r="A6" s="10" t="str">
        <x:v>1700</x:v>
      </x:c>
      <x:c r="B6" s="10" t="str">
        <x:v>Employee annual income return</x:v>
      </x:c>
      <x:c r="C6" s="10" t="str">
        <x:v>Employee who must file and has eligible compensation / non-business income</x:v>
      </x:c>
      <x:c r="D6" s="10" t="str">
        <x:v>Annual, normally April 15</x:v>
      </x:c>
      <x:c r="E6" s="10" t="str">
        <x:v>2316 and supporting records</x:v>
      </x:c>
      <x:c r="F6" s="10" t="str">
        <x:v>S1, S9</x:v>
      </x:c>
    </x:row>
    <x:row r="7" ht="49" customHeight="1">
      <x:c r="A7" s="11" t="str">
        <x:v>1701Q</x:v>
      </x:c>
      <x:c r="B7" s="11" t="str">
        <x:v>Individual quarterly income tax</x:v>
      </x:c>
      <x:c r="C7" s="11" t="str">
        <x:v>Business / professional individual, estate or trust when required</x:v>
      </x:c>
      <x:c r="D7" s="11" t="str">
        <x:v>Q1 May 15; Q2 Aug 15; Q3 Nov 15</x:v>
      </x:c>
      <x:c r="E7" s="11" t="str">
        <x:v>Cumulative income, tax, 2307s and earlier quarterly payments</x:v>
      </x:c>
      <x:c r="F7" s="11" t="str">
        <x:v>S1, S2</x:v>
      </x:c>
    </x:row>
    <x:row r="8" ht="49" customHeight="1">
      <x:c r="A8" s="10" t="str">
        <x:v>1701</x:v>
      </x:c>
      <x:c r="B8" s="10" t="str">
        <x:v>Individual annual income tax</x:v>
      </x:c>
      <x:c r="C8" s="10" t="str">
        <x:v>Business / professional including mixed income, itemized or other applicable cases</x:v>
      </x:c>
      <x:c r="D8" s="10" t="str">
        <x:v>Annual, normally April 15</x:v>
      </x:c>
      <x:c r="E8" s="10" t="str">
        <x:v>Income schedules, allowable deductions, 2316 / 2307 and tax payments</x:v>
      </x:c>
      <x:c r="F8" s="10" t="str">
        <x:v>S1, S3</x:v>
      </x:c>
    </x:row>
    <x:row r="9" ht="49" customHeight="1">
      <x:c r="A9" s="11" t="str">
        <x:v>1701A</x:v>
      </x:c>
      <x:c r="B9" s="11" t="str">
        <x:v>Simplified annual income tax</x:v>
      </x:c>
      <x:c r="C9" s="11" t="str">
        <x:v>Pure business / professional individual: 8% or graduated + OSD</x:v>
      </x:c>
      <x:c r="D9" s="11" t="str">
        <x:v>Annual, normally April 15</x:v>
      </x:c>
      <x:c r="E9" s="11" t="str">
        <x:v>Income and qualifying credits; 2307 when applicable</x:v>
      </x:c>
      <x:c r="F9" s="11" t="str">
        <x:v>S1, S3</x:v>
      </x:c>
    </x:row>
    <x:row r="10" ht="49" customHeight="1">
      <x:c r="A10" s="10" t="str">
        <x:v>1701-MS</x:v>
      </x:c>
      <x:c r="B10" s="10" t="str">
        <x:v>Micro/small annual income tax</x:v>
      </x:c>
      <x:c r="C10" s="10" t="str">
        <x:v>Eligible micro/small individual under a single business income-tax rate</x:v>
      </x:c>
      <x:c r="D10" s="10" t="str">
        <x:v>Annual, normally April 15</x:v>
      </x:c>
      <x:c r="E10" s="10" t="str">
        <x:v>Alternative form; check current form eligibility and attachments</x:v>
      </x:c>
      <x:c r="F10" s="10" t="str">
        <x:v>S1, S3</x:v>
      </x:c>
    </x:row>
    <x:row r="11" ht="49" customHeight="1">
      <x:c r="A11" s="11" t="str">
        <x:v>1702Q</x:v>
      </x:c>
      <x:c r="B11" s="11" t="str">
        <x:v>Corporate quarterly income tax</x:v>
      </x:c>
      <x:c r="C11" s="11" t="str">
        <x:v>Corporation, partnership or other non-individual when required</x:v>
      </x:c>
      <x:c r="D11" s="11" t="str">
        <x:v>Within 60 days after each of first three taxable quarters</x:v>
      </x:c>
      <x:c r="E11" s="11" t="str">
        <x:v>Income, allowable deductions, withholding and prior payments</x:v>
      </x:c>
      <x:c r="F11" s="11" t="str">
        <x:v>S1, S15</x:v>
      </x:c>
    </x:row>
    <x:row r="12" ht="49" customHeight="1">
      <x:c r="A12" s="10" t="str">
        <x:v>1702-RT</x:v>
      </x:c>
      <x:c r="B12" s="10" t="str">
        <x:v>Annual income tax, regular</x:v>
      </x:c>
      <x:c r="C12" s="10" t="str">
        <x:v>Entity subject only to regular income tax</x:v>
      </x:c>
      <x:c r="D12" s="10" t="str">
        <x:v>15th day of fourth month after year end</x:v>
      </x:c>
      <x:c r="E12" s="10" t="str">
        <x:v>Financial schedules, adjusted taxable income, tax credits</x:v>
      </x:c>
      <x:c r="F12" s="10" t="str">
        <x:v>S1, S8</x:v>
      </x:c>
    </x:row>
    <x:row r="13" ht="49" customHeight="1">
      <x:c r="A13" s="11" t="str">
        <x:v>1702-EX</x:v>
      </x:c>
      <x:c r="B13" s="11" t="str">
        <x:v>Annual exempt-entity income return</x:v>
      </x:c>
      <x:c r="C13" s="11" t="str">
        <x:v>Qualifying exempt entity / GPP with no other taxable income</x:v>
      </x:c>
      <x:c r="D13" s="11" t="str">
        <x:v>15th day of fourth month after year end</x:v>
      </x:c>
      <x:c r="E13" s="11" t="str">
        <x:v>Exemption evidence and applicable schedules</x:v>
      </x:c>
      <x:c r="F13" s="11" t="str">
        <x:v>S1</x:v>
      </x:c>
    </x:row>
    <x:row r="14" ht="49" customHeight="1">
      <x:c r="A14" s="10" t="str">
        <x:v>1702-MX</x:v>
      </x:c>
      <x:c r="B14" s="10" t="str">
        <x:v>Annual mixed / special-rate income return</x:v>
      </x:c>
      <x:c r="C14" s="10" t="str">
        <x:v>Applicable multiple-rate or preferential-rate entity</x:v>
      </x:c>
      <x:c r="D14" s="10" t="str">
        <x:v>15th day of fourth month after year end</x:v>
      </x:c>
      <x:c r="E14" s="10" t="str">
        <x:v>Separate activity / rate computations and schedules</x:v>
      </x:c>
      <x:c r="F14" s="10" t="str">
        <x:v>S1, S8</x:v>
      </x:c>
    </x:row>
    <x:row r="15" ht="49" customHeight="1">
      <x:c r="A15" s="11" t="str">
        <x:v>2550Q</x:v>
      </x:c>
      <x:c r="B15" s="11" t="str">
        <x:v>Quarterly VAT return</x:v>
      </x:c>
      <x:c r="C15" s="11" t="str">
        <x:v>VAT-registered taxpayer or other entity required by rules</x:v>
      </x:c>
      <x:c r="D15" s="11" t="str">
        <x:v>Normally 25th day after close of taxable quarter</x:v>
      </x:c>
      <x:c r="E15" s="11" t="str">
        <x:v>Taxable, zero-rated and exempt sales; input VAT and credits</x:v>
      </x:c>
      <x:c r="F15" s="11" t="str">
        <x:v>S5, S15</x:v>
      </x:c>
    </x:row>
    <x:row r="16" ht="49" customHeight="1">
      <x:c r="A16" s="10" t="str">
        <x:v>2550M</x:v>
      </x:c>
      <x:c r="B16" s="10" t="str">
        <x:v>Monthly VAT declaration</x:v>
      </x:c>
      <x:c r="C16" s="10" t="str">
        <x:v>Optional monthly filing by VAT-registered taxpayer</x:v>
      </x:c>
      <x:c r="D16" s="10" t="str">
        <x:v>Optional; quarterly 2550Q remains mandatory</x:v>
      </x:c>
      <x:c r="E16" s="10" t="str">
        <x:v>Monthly declaration is not a substitute for 2550Q</x:v>
      </x:c>
      <x:c r="F16" s="10" t="str">
        <x:v>S12</x:v>
      </x:c>
    </x:row>
    <x:row r="17" ht="49" customHeight="1">
      <x:c r="A17" s="11" t="str">
        <x:v>2551Q</x:v>
      </x:c>
      <x:c r="B17" s="11" t="str">
        <x:v>Quarterly percentage tax</x:v>
      </x:c>
      <x:c r="C17" s="11" t="str">
        <x:v>Person subject to Section 116 or another tax covered by the form</x:v>
      </x:c>
      <x:c r="D17" s="11" t="str">
        <x:v>Normally 25th day after close of taxable quarter</x:v>
      </x:c>
      <x:c r="E17" s="11" t="str">
        <x:v>Gross receipts / sales by applicable tax code; rates vary</x:v>
      </x:c>
      <x:c r="F17" s="11" t="str">
        <x:v>S4</x:v>
      </x:c>
    </x:row>
    <x:row r="18" ht="49" customHeight="1">
      <x:c r="A18" s="10" t="str">
        <x:v>1601-C</x:v>
      </x:c>
      <x:c r="B18" s="10" t="str">
        <x:v>Compensation withholding remittance</x:v>
      </x:c>
      <x:c r="C18" s="10" t="str">
        <x:v>Employer or payer required to withhold compensation tax</x:v>
      </x:c>
      <x:c r="D18" s="10" t="str">
        <x:v>Generally 10th next month; Dec Jan 15 for manual; eFPS varies</x:v>
      </x:c>
      <x:c r="E18" s="10" t="str">
        <x:v>Payroll gross pay, taxable amounts and tax withheld</x:v>
      </x:c>
      <x:c r="F18" s="10" t="str">
        <x:v>S6</x:v>
      </x:c>
    </x:row>
    <x:row r="19" ht="49" customHeight="1">
      <x:c r="A19" s="11" t="str">
        <x:v>0619-E</x:v>
      </x:c>
      <x:c r="B19" s="11" t="str">
        <x:v>Monthly expanded withholding remittance</x:v>
      </x:c>
      <x:c r="C19" s="11" t="str">
        <x:v>Withholding agent required to withhold expanded tax</x:v>
      </x:c>
      <x:c r="D19" s="11" t="str">
        <x:v>First two months of quarter; generally 10th next month for manual</x:v>
      </x:c>
      <x:c r="E19" s="11" t="str">
        <x:v>Supplier, payment nature, ATC, tax base and rate</x:v>
      </x:c>
      <x:c r="F19" s="11" t="str">
        <x:v>S6, S7</x:v>
      </x:c>
    </x:row>
    <x:row r="20" ht="49" customHeight="1">
      <x:c r="A20" s="10" t="str">
        <x:v>1601-EQ + QAP</x:v>
      </x:c>
      <x:c r="B20" s="10" t="str">
        <x:v>Quarterly expanded withholding</x:v>
      </x:c>
      <x:c r="C20" s="10" t="str">
        <x:v>Withholding agent required to withhold expanded tax</x:v>
      </x:c>
      <x:c r="D20" s="10" t="str">
        <x:v>Generally last day of month after quarter</x:v>
      </x:c>
      <x:c r="E20" s="10" t="str">
        <x:v>Quarterly payee list; account for prior 0619-E payments</x:v>
      </x:c>
      <x:c r="F20" s="10" t="str">
        <x:v>S6, S7</x:v>
      </x:c>
    </x:row>
    <x:row r="21" ht="49" customHeight="1">
      <x:c r="A21" s="11" t="str">
        <x:v>1604-E</x:v>
      </x:c>
      <x:c r="B21" s="11" t="str">
        <x:v>Annual expanded withholding information</x:v>
      </x:c>
      <x:c r="C21" s="11" t="str">
        <x:v>Withholding agent / reportable income payments</x:v>
      </x:c>
      <x:c r="D21" s="11" t="str">
        <x:v>Normally March 1 following the year</x:v>
      </x:c>
      <x:c r="E21" s="11" t="str">
        <x:v>Annual payee alphalist and information</x:v>
      </x:c>
      <x:c r="F21" s="11" t="str">
        <x:v>S6</x:v>
      </x:c>
    </x:row>
    <x:row r="22" ht="49" customHeight="1">
      <x:c r="A22" s="10" t="str">
        <x:v>2307</x:v>
      </x:c>
      <x:c r="B22" s="10" t="str">
        <x:v>Creditable withholding certificate</x:v>
      </x:c>
      <x:c r="C22" s="10" t="str">
        <x:v>Issued by withholding agent to payee</x:v>
      </x:c>
      <x:c r="D22" s="10" t="str">
        <x:v>Normally within 20 days after quarter or on demand</x:v>
      </x:c>
      <x:c r="E22" s="10" t="str">
        <x:v>Seller uses eligible amount as income-tax credit; not a return</x:v>
      </x:c>
      <x:c r="F22" s="10" t="str">
        <x:v>S7</x:v>
      </x:c>
    </x:row>
    <x:row r="23" ht="49" customHeight="1">
      <x:c r="A23" s="11" t="str">
        <x:v>0619-F / 1601-FQ / 1604-F</x:v>
      </x:c>
      <x:c r="B23" s="11" t="str">
        <x:v>Final withholding forms</x:v>
      </x:c>
      <x:c r="C23" s="11" t="str">
        <x:v>Agent paying income subject to final withholding</x:v>
      </x:c>
      <x:c r="D23" s="11" t="str">
        <x:v>First two months, quarterly and annually, as applicable</x:v>
      </x:c>
      <x:c r="E23" s="11" t="str">
        <x:v>Nature and tax code decide treatment; some payments use special forms</x:v>
      </x:c>
      <x:c r="F23" s="11" t="str">
        <x:v>S6, S7</x:v>
      </x:c>
    </x:row>
    <x:row r="24" ht="49" customHeight="1">
      <x:c r="A24" s="10" t="str">
        <x:v>1604-C</x:v>
      </x:c>
      <x:c r="B24" s="10" t="str">
        <x:v>Annual compensation withholding information</x:v>
      </x:c>
      <x:c r="C24" s="10" t="str">
        <x:v>Employer / compensation withholding agent</x:v>
      </x:c>
      <x:c r="D24" s="10" t="str">
        <x:v>Normally January 31 following the year</x:v>
      </x:c>
      <x:c r="E24" s="10" t="str">
        <x:v>Annual employee alphalist and compensation data</x:v>
      </x:c>
      <x:c r="F24" s="10" t="str">
        <x:v>S6</x:v>
      </x:c>
    </x:row>
    <x:row r="25" ht="49" customHeight="1">
      <x:c r="A25" s="11" t="str">
        <x:v>2316</x:v>
      </x:c>
      <x:c r="B25" s="11" t="str">
        <x:v>Compensation and withholding certificate</x:v>
      </x:c>
      <x:c r="C25" s="11" t="str">
        <x:v>Employer gives to employees</x:v>
      </x:c>
      <x:c r="D25" s="11" t="str">
        <x:v>Annual or upon applicable separation</x:v>
      </x:c>
      <x:c r="E25" s="11" t="str">
        <x:v>Compensation, exemptions and tax withheld; supports 1700 / 1701</x:v>
      </x:c>
      <x:c r="F25" s="11" t="str">
        <x:v>S6, S9</x:v>
      </x:c>
    </x:row>
    <x:row r="26" ht="49" customHeight="1">
      <x:c r="A26" s="10" t="str">
        <x:v>SAWT</x:v>
      </x:c>
      <x:c r="B26" s="10" t="str">
        <x:v>Summary alphalist of withholding agents</x:v>
      </x:c>
      <x:c r="C26" s="10" t="str">
        <x:v>Payee claiming CWT where submission is required</x:v>
      </x:c>
      <x:c r="D26" s="10" t="str">
        <x:v>With applicable income return under current filing rules</x:v>
      </x:c>
      <x:c r="E26" s="10" t="str">
        <x:v>2307 payer-by-payer detail; confirm current submission method</x:v>
      </x:c>
      <x:c r="F26" s="10" t="str">
        <x:v>S2</x:v>
      </x:c>
    </x:row>
    <x:row r="27" ht="49" customHeight="1">
      <x:c r="A27" s="11" t="str">
        <x:v>1706</x:v>
      </x:c>
      <x:c r="B27" s="11" t="str">
        <x:v>Capital-gains return for qualifying real property</x:v>
      </x:c>
      <x:c r="C27" s="11" t="str">
        <x:v>Transfer of PH real property classified as capital asset</x:v>
      </x:c>
      <x:c r="D27" s="11" t="str">
        <x:v>Normally within 30 days of covered transfer</x:v>
      </x:c>
      <x:c r="E27" s="11" t="str">
        <x:v>Deed, values, title and tax assessment</x:v>
      </x:c>
      <x:c r="F27" s="11" t="str">
        <x:v>S13</x:v>
      </x:c>
    </x:row>
    <x:row r="28" ht="49" customHeight="1">
      <x:c r="A28" s="10" t="str">
        <x:v>1707 / 1707-A</x:v>
      </x:c>
      <x:c r="B28" s="10" t="str">
        <x:v>Capital-gains returns for qualifying unlisted shares</x:v>
      </x:c>
      <x:c r="C28" s="10" t="str">
        <x:v>Covered transfers of domestic shares not traded through local exchange</x:v>
      </x:c>
      <x:c r="D28" s="10" t="str">
        <x:v>1707 per transfer; 1707-A annual when required</x:v>
      </x:c>
      <x:c r="E28" s="10" t="str">
        <x:v>Transfer and valuation documentation</x:v>
      </x:c>
      <x:c r="F28" s="10" t="str">
        <x:v>S13</x:v>
      </x:c>
    </x:row>
    <x:row r="29" ht="49" customHeight="1">
      <x:c r="A29" s="11" t="str">
        <x:v>1800</x:v>
      </x:c>
      <x:c r="B29" s="11" t="str">
        <x:v>Donor’s tax</x:v>
      </x:c>
      <x:c r="C29" s="11" t="str">
        <x:v>Applicable transfer by gift</x:v>
      </x:c>
      <x:c r="D29" s="11" t="str">
        <x:v>Normally within 30 days of gift</x:v>
      </x:c>
      <x:c r="E29" s="11" t="str">
        <x:v>Gift documents, valuation and previous gifts</x:v>
      </x:c>
      <x:c r="F29" s="11" t="str">
        <x:v>S14</x:v>
      </x:c>
    </x:row>
    <x:row r="30" ht="49" customHeight="1">
      <x:c r="A30" s="10" t="str">
        <x:v>1801</x:v>
      </x:c>
      <x:c r="B30" s="10" t="str">
        <x:v>Estate tax</x:v>
      </x:c>
      <x:c r="C30" s="10" t="str">
        <x:v>Executor / administrator / heirs when filing conditions met</x:v>
      </x:c>
      <x:c r="D30" s="10" t="str">
        <x:v>Normally within one year after death</x:v>
      </x:c>
      <x:c r="E30" s="10" t="str">
        <x:v>Estate inventory, values and allowed deductions</x:v>
      </x:c>
      <x:c r="F30" s="10" t="str">
        <x:v>S14</x:v>
      </x:c>
    </x:row>
    <x:row r="31" ht="49" customHeight="1">
      <x:c r="A31" s="11" t="str">
        <x:v>2000 / 2000-OT</x:v>
      </x:c>
      <x:c r="B31" s="11" t="str">
        <x:v>Documentary stamp tax</x:v>
      </x:c>
      <x:c r="C31" s="11" t="str">
        <x:v>Taxable documents or one-time transactions</x:v>
      </x:c>
      <x:c r="D31" s="11" t="str">
        <x:v>Period depends on transaction and applicable return</x:v>
      </x:c>
      <x:c r="E31" s="11" t="str">
        <x:v>Agreement, deed, instrument and relevant tax rules</x:v>
      </x:c>
      <x:c r="F31" s="11" t="str">
        <x:v>S15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0" hidden="0" customWidth="1"/>
    <x:col min="2" max="2" width="18" hidden="0" customWidth="1"/>
    <x:col min="3" max="3" width="28" hidden="0" customWidth="1"/>
    <x:col min="4" max="4" width="21" hidden="0" customWidth="1"/>
    <x:col min="5" max="5" width="23" hidden="0" customWidth="1"/>
    <x:col min="6" max="6" width="23" hidden="0" customWidth="1"/>
    <x:col min="7" max="7" width="20" hidden="0" customWidth="1"/>
    <x:col min="8" max="8" width="21" hidden="0" customWidth="1"/>
    <x:col min="9" max="9" width="28" hidden="0" customWidth="1"/>
  </x:cols>
  <x:sheetData>
    <x:row r="1">
      <x:c r="A1" s="1" t="str">
        <x:v>8% example: books to quarterly and annual returns</x:v>
      </x:c>
    </x:row>
    <x:row r="2">
      <x:c r="A2" s="3" t="str">
        <x:v>PHP. Hypothetical pure business taxpayer, valid 8% election, non-VAT. All sales carry 1% CWT solely for illustration.</x:v>
      </x:c>
    </x:row>
    <x:row r="3">
      <x:c r="A3" s="3" t="str">
        <x:v>Assumptions: eligible 2307s received in the same period; amounts due are paid in full; no other income, credits or overpayments.</x:v>
      </x:c>
    </x:row>
    <x:row r="5" ht="23" customHeight="1">
      <x:c r="A5" s="16" t="str">
        <x:v>Return period</x:v>
      </x:c>
      <x:c r="B5" s="16" t="str">
        <x:v>Q1</x:v>
      </x:c>
      <x:c r="C5" s="16" t="str">
        <x:v>Q2</x:v>
      </x:c>
      <x:c r="D5" s="16" t="str">
        <x:v>Q3</x:v>
      </x:c>
      <x:c r="E5" s="16" t="str">
        <x:v>Annual (includes Q4)</x:v>
      </x:c>
      <x:c r="F5" s="17"/>
      <x:c r="G5" s="17"/>
      <x:c r="H5" s="17"/>
      <x:c r="I5" s="17"/>
    </x:row>
    <x:row r="6" ht="23" customHeight="1">
      <x:c r="A6" s="17" t="str">
        <x:v>Return</x:v>
      </x:c>
      <x:c r="B6" s="17" t="str">
        <x:v>1701Q</x:v>
      </x:c>
      <x:c r="C6" s="17" t="str">
        <x:v>1701Q</x:v>
      </x:c>
      <x:c r="D6" s="17" t="str">
        <x:v>1701Q</x:v>
      </x:c>
      <x:c r="E6" s="17" t="str">
        <x:v>1701A / eligible 1701-MS</x:v>
      </x:c>
      <x:c r="F6" s="17"/>
      <x:c r="G6" s="17"/>
      <x:c r="H6" s="17"/>
      <x:c r="I6" s="17"/>
    </x:row>
    <x:row r="7" ht="23" customHeight="1">
      <x:c r="A7" s="17" t="str">
        <x:v>Sales year to date</x:v>
      </x:c>
      <x:c r="B7" s="24" t="n">
        <x:f>SUMIF($A$21:$A$40,"Q1",$D$21:$D$40)</x:f>
        <x:v>300000</x:v>
      </x:c>
      <x:c r="C7" s="24" t="n">
        <x:f>B7+SUMIF($A$21:$A$40,"Q2",$D$21:$D$40)</x:f>
        <x:v>600000</x:v>
      </x:c>
      <x:c r="D7" s="24" t="n">
        <x:f>C7+SUMIF($A$21:$A$40,"Q3",$D$21:$D$40)</x:f>
        <x:v>900000</x:v>
      </x:c>
      <x:c r="E7" s="24" t="n">
        <x:f>D7+SUMIF($A$21:$A$40,"Q4",$D$21:$D$40)</x:f>
        <x:v>1200000</x:v>
      </x:c>
      <x:c r="F7" s="17"/>
      <x:c r="G7" s="17"/>
      <x:c r="H7" s="17"/>
      <x:c r="I7" s="17"/>
    </x:row>
    <x:row r="8" ht="23" customHeight="1">
      <x:c r="A8" s="17" t="str">
        <x:v>Other eligible business income year to date</x:v>
      </x:c>
      <x:c r="B8" s="24" t="n">
        <x:f>SUMIF($A$21:$A$40,"Q1",$E$21:$E$40)</x:f>
        <x:v>0</x:v>
      </x:c>
      <x:c r="C8" s="24" t="n">
        <x:f>B8+SUMIF($A$21:$A$40,"Q2",$E$21:$E$40)</x:f>
        <x:v>0</x:v>
      </x:c>
      <x:c r="D8" s="24" t="n">
        <x:f>C8+SUMIF($A$21:$A$40,"Q3",$E$21:$E$40)</x:f>
        <x:v>0</x:v>
      </x:c>
      <x:c r="E8" s="24" t="n">
        <x:f>D8+SUMIF($A$21:$A$40,"Q4",$E$21:$E$40)</x:f>
        <x:v>0</x:v>
      </x:c>
      <x:c r="F8" s="17"/>
      <x:c r="G8" s="17"/>
      <x:c r="H8" s="17"/>
      <x:c r="I8" s="17"/>
    </x:row>
    <x:row r="9" ht="23" customHeight="1">
      <x:c r="A9" s="17" t="str">
        <x:v>Pure-business reduction</x:v>
      </x:c>
      <x:c r="B9" s="24" t="n">
        <x:f>$B$17</x:f>
        <x:v>250000</x:v>
      </x:c>
      <x:c r="C9" s="24" t="n">
        <x:f>$B$17</x:f>
        <x:v>250000</x:v>
      </x:c>
      <x:c r="D9" s="24" t="n">
        <x:f>$B$17</x:f>
        <x:v>250000</x:v>
      </x:c>
      <x:c r="E9" s="24" t="n">
        <x:f>$B$17</x:f>
        <x:v>250000</x:v>
      </x:c>
      <x:c r="F9" s="17"/>
      <x:c r="G9" s="17"/>
      <x:c r="H9" s="17"/>
      <x:c r="I9" s="17"/>
    </x:row>
    <x:row r="10" ht="23" customHeight="1">
      <x:c r="A10" s="17" t="str">
        <x:v>8% taxable base</x:v>
      </x:c>
      <x:c r="B10" s="24" t="n">
        <x:f>MAX(0,B7+B8-B9)</x:f>
        <x:v>50000</x:v>
      </x:c>
      <x:c r="C10" s="24" t="n">
        <x:f>MAX(0,C7+C8-C9)</x:f>
        <x:v>350000</x:v>
      </x:c>
      <x:c r="D10" s="24" t="n">
        <x:f>MAX(0,D7+D8-D9)</x:f>
        <x:v>650000</x:v>
      </x:c>
      <x:c r="E10" s="24" t="n">
        <x:f>MAX(0,E7+E8-E9)</x:f>
        <x:v>950000</x:v>
      </x:c>
      <x:c r="F10" s="17"/>
      <x:c r="G10" s="17"/>
      <x:c r="H10" s="17"/>
      <x:c r="I10" s="17"/>
    </x:row>
    <x:row r="11" ht="23" customHeight="1">
      <x:c r="A11" s="17" t="str">
        <x:v>Income tax due year to date</x:v>
      </x:c>
      <x:c r="B11" s="24" t="n">
        <x:f>B10*$B$18</x:f>
        <x:v>4000</x:v>
      </x:c>
      <x:c r="C11" s="24" t="n">
        <x:f>C10*$B$18</x:f>
        <x:v>28000</x:v>
      </x:c>
      <x:c r="D11" s="24" t="n">
        <x:f>D10*$B$18</x:f>
        <x:v>52000</x:v>
      </x:c>
      <x:c r="E11" s="24" t="n">
        <x:f>E10*$B$18</x:f>
        <x:v>76000</x:v>
      </x:c>
      <x:c r="F11" s="17"/>
      <x:c r="G11" s="17"/>
      <x:c r="H11" s="17"/>
      <x:c r="I11" s="17"/>
    </x:row>
    <x:row r="12" ht="23" customHeight="1">
      <x:c r="A12" s="17" t="str">
        <x:v>Eligible CWT year to date</x:v>
      </x:c>
      <x:c r="B12" s="24" t="n">
        <x:f>SUMIF($A$21:$A$40,"Q1",$G$21:$G$40)</x:f>
        <x:v>3000</x:v>
      </x:c>
      <x:c r="C12" s="24" t="n">
        <x:f>B12+SUMIF($A$21:$A$40,"Q2",$G$21:$G$40)</x:f>
        <x:v>6000</x:v>
      </x:c>
      <x:c r="D12" s="24" t="n">
        <x:f>C12+SUMIF($A$21:$A$40,"Q3",$G$21:$G$40)</x:f>
        <x:v>9000</x:v>
      </x:c>
      <x:c r="E12" s="24" t="n">
        <x:f>D12+SUMIF($A$21:$A$40,"Q4",$G$21:$G$40)</x:f>
        <x:v>12000</x:v>
      </x:c>
      <x:c r="F12" s="17"/>
      <x:c r="G12" s="17"/>
      <x:c r="H12" s="17"/>
      <x:c r="I12" s="17"/>
    </x:row>
    <x:row r="13" ht="23" customHeight="1">
      <x:c r="A13" s="17" t="str">
        <x:v>Previous income-tax payments</x:v>
      </x:c>
      <x:c r="B13" s="24" t="n">
        <x:f>0</x:f>
        <x:v>0</x:v>
      </x:c>
      <x:c r="C13" s="24" t="n">
        <x:f>B13+B14</x:f>
        <x:v>1000</x:v>
      </x:c>
      <x:c r="D13" s="24" t="n">
        <x:f>C13+C14</x:f>
        <x:v>22000</x:v>
      </x:c>
      <x:c r="E13" s="24" t="n">
        <x:f>D13+D14</x:f>
        <x:v>43000</x:v>
      </x:c>
      <x:c r="F13" s="17"/>
      <x:c r="G13" s="17"/>
      <x:c r="H13" s="17"/>
      <x:c r="I13" s="17"/>
    </x:row>
    <x:row r="14" ht="23" customHeight="1">
      <x:c r="A14" s="23" t="str">
        <x:v>Amount still payable</x:v>
      </x:c>
      <x:c r="B14" s="25" t="n">
        <x:f>MAX(0,B11-B12-B13)</x:f>
        <x:v>1000</x:v>
      </x:c>
      <x:c r="C14" s="25" t="n">
        <x:f>MAX(0,C11-C12-C13)</x:f>
        <x:v>21000</x:v>
      </x:c>
      <x:c r="D14" s="25" t="n">
        <x:f>MAX(0,D11-D12-D13)</x:f>
        <x:v>21000</x:v>
      </x:c>
      <x:c r="E14" s="25" t="n">
        <x:f>MAX(0,E11-E12-E13)</x:f>
        <x:v>21000</x:v>
      </x:c>
      <x:c r="F14" s="17"/>
      <x:c r="G14" s="17"/>
      <x:c r="H14" s="17"/>
      <x:c r="I14" s="17"/>
    </x:row>
    <x:row r="15" ht="23" customHeight="1">
      <x:c r="A15" s="17"/>
      <x:c r="B15" s="17"/>
      <x:c r="C15" s="17"/>
      <x:c r="D15" s="17"/>
      <x:c r="E15" s="17"/>
      <x:c r="F15" s="17"/>
      <x:c r="G15" s="17"/>
      <x:c r="H15" s="17"/>
      <x:c r="I15" s="17"/>
    </x:row>
    <x:row r="16" ht="23" customHeight="1">
      <x:c r="A16" s="17"/>
      <x:c r="B16" s="17"/>
      <x:c r="C16" s="17"/>
      <x:c r="D16" s="17"/>
      <x:c r="E16" s="17"/>
      <x:c r="F16" s="17"/>
      <x:c r="G16" s="17"/>
      <x:c r="H16" s="17"/>
      <x:c r="I16" s="17"/>
    </x:row>
    <x:row r="17" ht="23" customHeight="1">
      <x:c r="A17" s="17" t="str">
        <x:v>Pure-business reduction</x:v>
      </x:c>
      <x:c r="B17" s="26" t="n">
        <x:v>250000</x:v>
      </x:c>
      <x:c r="C17" s="17"/>
      <x:c r="D17" s="17"/>
      <x:c r="E17" s="17"/>
      <x:c r="F17" s="17"/>
      <x:c r="G17" s="17"/>
      <x:c r="H17" s="17"/>
      <x:c r="I17" s="17"/>
    </x:row>
    <x:row r="18" ht="23" customHeight="1">
      <x:c r="A18" s="17" t="str">
        <x:v>Income-tax rate</x:v>
      </x:c>
      <x:c r="B18" s="19" t="n">
        <x:v>0.08</x:v>
      </x:c>
      <x:c r="C18" s="17"/>
      <x:c r="D18" s="17"/>
      <x:c r="E18" s="17"/>
      <x:c r="F18" s="17"/>
      <x:c r="G18" s="17"/>
      <x:c r="H18" s="17"/>
      <x:c r="I18" s="17"/>
    </x:row>
    <x:row r="19" ht="23" customHeight="1">
      <x:c r="A19" s="17"/>
      <x:c r="B19" s="17"/>
      <x:c r="C19" s="17"/>
      <x:c r="D19" s="17"/>
      <x:c r="E19" s="17"/>
      <x:c r="F19" s="17"/>
      <x:c r="G19" s="17"/>
      <x:c r="H19" s="17"/>
      <x:c r="I19" s="17"/>
    </x:row>
    <x:row r="20" ht="23" customHeight="1">
      <x:c r="A20" s="16" t="str">
        <x:v>Period</x:v>
      </x:c>
      <x:c r="B20" s="16" t="str">
        <x:v>Date</x:v>
      </x:c>
      <x:c r="C20" s="16" t="str">
        <x:v>Reference / purpose</x:v>
      </x:c>
      <x:c r="D20" s="16" t="str">
        <x:v>Gross sales</x:v>
      </x:c>
      <x:c r="E20" s="16" t="str">
        <x:v>Other eligible income</x:v>
      </x:c>
      <x:c r="F20" s="16" t="str">
        <x:v>Business expense</x:v>
      </x:c>
      <x:c r="G20" s="16" t="str">
        <x:v>CWT on sales</x:v>
      </x:c>
      <x:c r="H20" s="16" t="str">
        <x:v>Net cash</x:v>
      </x:c>
      <x:c r="I20" s="16" t="str">
        <x:v>Supporting evidence</x:v>
      </x:c>
    </x:row>
    <x:row r="21" ht="23" customHeight="1">
      <x:c r="A21" s="18" t="str">
        <x:v>Q1</x:v>
      </x:c>
      <x:c r="B21" s="20" t="n">
        <x:v>46096</x:v>
      </x:c>
      <x:c r="C21" s="18" t="str">
        <x:v>Service invoice</x:v>
      </x:c>
      <x:c r="D21" s="27" t="n">
        <x:v>300000</x:v>
      </x:c>
      <x:c r="E21" s="27" t="n">
        <x:v>0</x:v>
      </x:c>
      <x:c r="F21" s="27" t="n">
        <x:v>0</x:v>
      </x:c>
      <x:c r="G21" s="27" t="n">
        <x:v>3000</x:v>
      </x:c>
      <x:c r="H21" s="24" t="n">
        <x:f>IF(A21="","",D21+E21-F21-G21)</x:f>
        <x:v>297000</x:v>
      </x:c>
      <x:c r="I21" s="18" t="str">
        <x:v>Invoice + 2307</x:v>
      </x:c>
    </x:row>
    <x:row r="22" ht="23" customHeight="1">
      <x:c r="A22" s="18" t="str">
        <x:v>Q1</x:v>
      </x:c>
      <x:c r="B22" s="20" t="n">
        <x:v>46101</x:v>
      </x:c>
      <x:c r="C22" s="18" t="str">
        <x:v>Business expense</x:v>
      </x:c>
      <x:c r="D22" s="27" t="n">
        <x:v>0</x:v>
      </x:c>
      <x:c r="E22" s="27" t="n">
        <x:v>0</x:v>
      </x:c>
      <x:c r="F22" s="27" t="n">
        <x:v>40000</x:v>
      </x:c>
      <x:c r="G22" s="27" t="n">
        <x:v>0</x:v>
      </x:c>
      <x:c r="H22" s="24" t="n">
        <x:f>IF(A22="","",D22+E22-F22-G22)</x:f>
        <x:v>-40000</x:v>
      </x:c>
      <x:c r="I22" s="18" t="str">
        <x:v>Supplier invoice</x:v>
      </x:c>
    </x:row>
    <x:row r="23" ht="23" customHeight="1">
      <x:c r="A23" s="18" t="str">
        <x:v>Q2</x:v>
      </x:c>
      <x:c r="B23" s="20" t="n">
        <x:v>46188</x:v>
      </x:c>
      <x:c r="C23" s="18" t="str">
        <x:v>Service invoice</x:v>
      </x:c>
      <x:c r="D23" s="27" t="n">
        <x:v>300000</x:v>
      </x:c>
      <x:c r="E23" s="27" t="n">
        <x:v>0</x:v>
      </x:c>
      <x:c r="F23" s="27" t="n">
        <x:v>0</x:v>
      </x:c>
      <x:c r="G23" s="27" t="n">
        <x:v>3000</x:v>
      </x:c>
      <x:c r="H23" s="24" t="n">
        <x:f>IF(A23="","",D23+E23-F23-G23)</x:f>
        <x:v>297000</x:v>
      </x:c>
      <x:c r="I23" s="18" t="str">
        <x:v>Invoice + 2307</x:v>
      </x:c>
    </x:row>
    <x:row r="24" ht="23" customHeight="1">
      <x:c r="A24" s="18" t="str">
        <x:v>Q3</x:v>
      </x:c>
      <x:c r="B24" s="20" t="n">
        <x:v>46280</x:v>
      </x:c>
      <x:c r="C24" s="18" t="str">
        <x:v>Service invoice</x:v>
      </x:c>
      <x:c r="D24" s="27" t="n">
        <x:v>300000</x:v>
      </x:c>
      <x:c r="E24" s="27" t="n">
        <x:v>0</x:v>
      </x:c>
      <x:c r="F24" s="27" t="n">
        <x:v>0</x:v>
      </x:c>
      <x:c r="G24" s="27" t="n">
        <x:v>3000</x:v>
      </x:c>
      <x:c r="H24" s="24" t="n">
        <x:f>IF(A24="","",D24+E24-F24-G24)</x:f>
        <x:v>297000</x:v>
      </x:c>
      <x:c r="I24" s="18" t="str">
        <x:v>Invoice + 2307</x:v>
      </x:c>
    </x:row>
    <x:row r="25" ht="23" customHeight="1">
      <x:c r="A25" s="18" t="str">
        <x:v>Q4</x:v>
      </x:c>
      <x:c r="B25" s="20" t="n">
        <x:v>46371</x:v>
      </x:c>
      <x:c r="C25" s="18" t="str">
        <x:v>Service invoice (illustrative)</x:v>
      </x:c>
      <x:c r="D25" s="27" t="n">
        <x:v>300000</x:v>
      </x:c>
      <x:c r="E25" s="27" t="n">
        <x:v>0</x:v>
      </x:c>
      <x:c r="F25" s="27" t="n">
        <x:v>0</x:v>
      </x:c>
      <x:c r="G25" s="27" t="n">
        <x:v>3000</x:v>
      </x:c>
      <x:c r="H25" s="24" t="n">
        <x:f>IF(A25="","",D25+E25-F25-G25)</x:f>
        <x:v>297000</x:v>
      </x:c>
      <x:c r="I25" s="18" t="str">
        <x:v>Invoice + 2307</x:v>
      </x:c>
    </x:row>
    <x:row r="26" ht="23" customHeight="1">
      <x:c r="A26" s="18"/>
      <x:c r="B26" s="20"/>
      <x:c r="C26" s="18"/>
      <x:c r="D26" s="27"/>
      <x:c r="E26" s="27"/>
      <x:c r="F26" s="27"/>
      <x:c r="G26" s="27"/>
      <x:c r="H26" s="24" t="str">
        <x:f>IF(A26="","",D26+E26-F26-G26)</x:f>
      </x:c>
      <x:c r="I26" s="18"/>
    </x:row>
    <x:row r="27" ht="23" customHeight="1">
      <x:c r="A27" s="18"/>
      <x:c r="B27" s="20"/>
      <x:c r="C27" s="18"/>
      <x:c r="D27" s="27"/>
      <x:c r="E27" s="27"/>
      <x:c r="F27" s="27"/>
      <x:c r="G27" s="27"/>
      <x:c r="H27" s="24" t="str">
        <x:f>IF(A27="","",D27+E27-F27-G27)</x:f>
      </x:c>
      <x:c r="I27" s="18"/>
    </x:row>
    <x:row r="28" ht="23" customHeight="1">
      <x:c r="A28" s="18"/>
      <x:c r="B28" s="20"/>
      <x:c r="C28" s="18"/>
      <x:c r="D28" s="27"/>
      <x:c r="E28" s="27"/>
      <x:c r="F28" s="27"/>
      <x:c r="G28" s="27"/>
      <x:c r="H28" s="24" t="str">
        <x:f>IF(A28="","",D28+E28-F28-G28)</x:f>
      </x:c>
      <x:c r="I28" s="18"/>
    </x:row>
    <x:row r="29" ht="23" customHeight="1">
      <x:c r="A29" s="18"/>
      <x:c r="B29" s="20"/>
      <x:c r="C29" s="18"/>
      <x:c r="D29" s="27"/>
      <x:c r="E29" s="27"/>
      <x:c r="F29" s="27"/>
      <x:c r="G29" s="27"/>
      <x:c r="H29" s="24" t="str">
        <x:f>IF(A29="","",D29+E29-F29-G29)</x:f>
      </x:c>
      <x:c r="I29" s="18"/>
    </x:row>
    <x:row r="30" ht="23" customHeight="1">
      <x:c r="A30" s="18"/>
      <x:c r="B30" s="20"/>
      <x:c r="C30" s="18"/>
      <x:c r="D30" s="27"/>
      <x:c r="E30" s="27"/>
      <x:c r="F30" s="27"/>
      <x:c r="G30" s="27"/>
      <x:c r="H30" s="24" t="str">
        <x:f>IF(A30="","",D30+E30-F30-G30)</x:f>
      </x:c>
      <x:c r="I30" s="18"/>
    </x:row>
    <x:row r="31" ht="23" customHeight="1">
      <x:c r="A31" s="18"/>
      <x:c r="B31" s="20"/>
      <x:c r="C31" s="18"/>
      <x:c r="D31" s="27"/>
      <x:c r="E31" s="27"/>
      <x:c r="F31" s="27"/>
      <x:c r="G31" s="27"/>
      <x:c r="H31" s="24" t="str">
        <x:f>IF(A31="","",D31+E31-F31-G31)</x:f>
      </x:c>
      <x:c r="I31" s="18"/>
    </x:row>
    <x:row r="32" ht="23" customHeight="1">
      <x:c r="A32" s="18"/>
      <x:c r="B32" s="20"/>
      <x:c r="C32" s="18"/>
      <x:c r="D32" s="27"/>
      <x:c r="E32" s="27"/>
      <x:c r="F32" s="27"/>
      <x:c r="G32" s="27"/>
      <x:c r="H32" s="24" t="str">
        <x:f>IF(A32="","",D32+E32-F32-G32)</x:f>
      </x:c>
      <x:c r="I32" s="18"/>
    </x:row>
    <x:row r="33" ht="23" customHeight="1">
      <x:c r="A33" s="18"/>
      <x:c r="B33" s="20"/>
      <x:c r="C33" s="18"/>
      <x:c r="D33" s="27"/>
      <x:c r="E33" s="27"/>
      <x:c r="F33" s="27"/>
      <x:c r="G33" s="27"/>
      <x:c r="H33" s="24" t="str">
        <x:f>IF(A33="","",D33+E33-F33-G33)</x:f>
      </x:c>
      <x:c r="I33" s="18"/>
    </x:row>
    <x:row r="34" ht="23" customHeight="1">
      <x:c r="A34" s="18"/>
      <x:c r="B34" s="20"/>
      <x:c r="C34" s="18"/>
      <x:c r="D34" s="27"/>
      <x:c r="E34" s="27"/>
      <x:c r="F34" s="27"/>
      <x:c r="G34" s="27"/>
      <x:c r="H34" s="24" t="str">
        <x:f>IF(A34="","",D34+E34-F34-G34)</x:f>
      </x:c>
      <x:c r="I34" s="18"/>
    </x:row>
    <x:row r="35" ht="23" customHeight="1">
      <x:c r="A35" s="18"/>
      <x:c r="B35" s="20"/>
      <x:c r="C35" s="18"/>
      <x:c r="D35" s="27"/>
      <x:c r="E35" s="27"/>
      <x:c r="F35" s="27"/>
      <x:c r="G35" s="27"/>
      <x:c r="H35" s="24" t="str">
        <x:f>IF(A35="","",D35+E35-F35-G35)</x:f>
      </x:c>
      <x:c r="I35" s="18"/>
    </x:row>
    <x:row r="36" ht="23" customHeight="1">
      <x:c r="A36" s="18"/>
      <x:c r="B36" s="20"/>
      <x:c r="C36" s="18"/>
      <x:c r="D36" s="27"/>
      <x:c r="E36" s="27"/>
      <x:c r="F36" s="27"/>
      <x:c r="G36" s="27"/>
      <x:c r="H36" s="24" t="str">
        <x:f>IF(A36="","",D36+E36-F36-G36)</x:f>
      </x:c>
      <x:c r="I36" s="18"/>
    </x:row>
    <x:row r="37" ht="23" customHeight="1">
      <x:c r="A37" s="18"/>
      <x:c r="B37" s="20"/>
      <x:c r="C37" s="18"/>
      <x:c r="D37" s="27"/>
      <x:c r="E37" s="27"/>
      <x:c r="F37" s="27"/>
      <x:c r="G37" s="27"/>
      <x:c r="H37" s="24" t="str">
        <x:f>IF(A37="","",D37+E37-F37-G37)</x:f>
      </x:c>
      <x:c r="I37" s="18"/>
    </x:row>
    <x:row r="38" ht="23" customHeight="1">
      <x:c r="A38" s="18"/>
      <x:c r="B38" s="20"/>
      <x:c r="C38" s="18"/>
      <x:c r="D38" s="27"/>
      <x:c r="E38" s="27"/>
      <x:c r="F38" s="27"/>
      <x:c r="G38" s="27"/>
      <x:c r="H38" s="24" t="str">
        <x:f>IF(A38="","",D38+E38-F38-G38)</x:f>
      </x:c>
      <x:c r="I38" s="18"/>
    </x:row>
    <x:row r="39" ht="23" customHeight="1">
      <x:c r="A39" s="18"/>
      <x:c r="B39" s="20"/>
      <x:c r="C39" s="18"/>
      <x:c r="D39" s="27"/>
      <x:c r="E39" s="27"/>
      <x:c r="F39" s="27"/>
      <x:c r="G39" s="27"/>
      <x:c r="H39" s="24" t="str">
        <x:f>IF(A39="","",D39+E39-F39-G39)</x:f>
      </x:c>
      <x:c r="I39" s="18"/>
    </x:row>
    <x:row r="40" ht="23" customHeight="1">
      <x:c r="A40" s="18"/>
      <x:c r="B40" s="20"/>
      <x:c r="C40" s="18"/>
      <x:c r="D40" s="27"/>
      <x:c r="E40" s="27"/>
      <x:c r="F40" s="27"/>
      <x:c r="G40" s="27"/>
      <x:c r="H40" s="24" t="str">
        <x:f>IF(A40="","",D40+E40-F40-G40)</x:f>
      </x:c>
      <x:c r="I40" s="18"/>
    </x:row>
    <x:row r="41" ht="23" customHeight="1">
      <x:c r="A41" s="17"/>
      <x:c r="B41" s="17"/>
      <x:c r="C41" s="17"/>
      <x:c r="D41" s="17"/>
      <x:c r="E41" s="17"/>
      <x:c r="F41" s="17"/>
      <x:c r="G41" s="17"/>
      <x:c r="H41" s="17"/>
      <x:c r="I41" s="17"/>
    </x:row>
    <x:row r="42" ht="23" customHeight="1">
      <x:c r="A42" s="21" t="str">
        <x:v>Expense is recorded for bookkeeping but is not deducted in this 8% computation. Source: S2 and S3.</x:v>
      </x:c>
      <x:c r="B42" s="17"/>
      <x:c r="C42" s="17"/>
      <x:c r="D42" s="17"/>
      <x:c r="E42" s="17"/>
      <x:c r="F42" s="17"/>
      <x:c r="G42" s="17"/>
      <x:c r="H42" s="17"/>
      <x:c r="I42" s="17"/>
    </x:row>
    <x:row r="43" ht="23" customHeight="1">
      <x:c r="A43" s="21" t="str">
        <x:v>This narrow example does not handle threshold breaches, excess credits, unpaid tax, VAT, adjustments or other income regimes.</x:v>
      </x:c>
      <x:c r="B43" s="17"/>
      <x:c r="C43" s="17"/>
      <x:c r="D43" s="17"/>
      <x:c r="E43" s="17"/>
      <x:c r="F43" s="17"/>
      <x:c r="G43" s="17"/>
      <x:c r="H43" s="17"/>
      <x:c r="I43" s="17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32" hidden="0" customWidth="1"/>
    <x:col min="3" max="3" width="75" hidden="0" customWidth="1"/>
    <x:col min="4" max="4" width="90" hidden="0" customWidth="1"/>
  </x:cols>
  <x:sheetData>
    <x:row r="1" ht="24" customHeight="1">
      <x:c r="A1" s="1" t="str">
        <x:v>Primary sources</x:v>
      </x:c>
    </x:row>
    <x:row r="2" ht="24" customHeight="1">
      <x:c r="A2" s="2" t="str">
        <x:v>Bureau of Internal Revenue sources consulted on 28 Oct 2026.</x:v>
      </x:c>
    </x:row>
    <x:row r="3" ht="24" customHeight="1">
      <x:c r="A3" s="3" t="str">
        <x:v>Source IDs on other sheets point here. Always check the version and current guidance applicable to the filing period.</x:v>
      </x:c>
    </x:row>
    <x:row r="5" ht="32" customHeight="1">
      <x:c r="A5" s="7" t="str">
        <x:v>ID</x:v>
      </x:c>
      <x:c r="B5" s="7" t="str">
        <x:v>Source</x:v>
      </x:c>
      <x:c r="C5" s="7" t="str">
        <x:v>Use</x:v>
      </x:c>
      <x:c r="D5" s="7" t="str">
        <x:v>URL</x:v>
      </x:c>
    </x:row>
    <x:row r="6" ht="49" customHeight="1">
      <x:c r="A6" s="10" t="str">
        <x:v>S1</x:v>
      </x:c>
      <x:c r="B6" s="10" t="str">
        <x:v>BIR forms index</x:v>
      </x:c>
      <x:c r="C6" s="10" t="str">
        <x:v>Official descriptions and filing dates for income-tax forms</x:v>
      </x:c>
      <x:c r="D6" s="10" t="str">
        <x:v>https://www.bir.gov.ph/bir-forms?datasetCode=3381&amp;idTag=BIR1701&amp;label=1701&amp;tab=Income+Tax+Return&amp;type=TAB+LINK</x:v>
      </x:c>
    </x:row>
    <x:row r="7" ht="49" customHeight="1">
      <x:c r="A7" s="11" t="str">
        <x:v>S2</x:v>
      </x:c>
      <x:c r="B7" s="11" t="str">
        <x:v>RR 8-2018</x:v>
      </x:c>
      <x:c r="C7" s="11" t="str">
        <x:v>8% election, threshold breach, GPP and tax computation</x:v>
      </x:c>
      <x:c r="D7" s="11" t="str">
        <x:v>https://bir-cdn.bir.gov.ph/local/pdf/RR%20No.%208-2018.pdf</x:v>
      </x:c>
    </x:row>
    <x:row r="8" ht="49" customHeight="1">
      <x:c r="A8" s="10" t="str">
        <x:v>S3</x:v>
      </x:c>
      <x:c r="B8" s="10" t="str">
        <x:v>RMC 20-2026 Annex C</x:v>
      </x:c>
      <x:c r="C8" s="10" t="str">
        <x:v>1701 / 1701A / 1701-MS options for eligible micro and small taxpayers</x:v>
      </x:c>
      <x:c r="D8" s="10" t="str">
        <x:v>https://bir-cdn.bir.gov.ph/BIR/pdf/RMC%2020-2026%20Annex%20C%20%283%29.pdf</x:v>
      </x:c>
    </x:row>
    <x:row r="9" ht="49" customHeight="1">
      <x:c r="A9" s="11" t="str">
        <x:v>S4</x:v>
      </x:c>
      <x:c r="B9" s="11" t="str">
        <x:v>BIR 2551Q guide</x:v>
      </x:c>
      <x:c r="C9" s="11" t="str">
        <x:v>Percentage-tax applicability and general quarterly due date</x:v>
      </x:c>
      <x:c r="D9" s="11" t="str">
        <x:v>https://bir-cdn.bir.gov.ph/local/pdf/2551Q_%20Jan%202018%20Guide.pdf</x:v>
      </x:c>
    </x:row>
    <x:row r="10" ht="49" customHeight="1">
      <x:c r="A10" s="10" t="str">
        <x:v>S5</x:v>
      </x:c>
      <x:c r="B10" s="10" t="str">
        <x:v>RR 3-2024</x:v>
      </x:c>
      <x:c r="C10" s="10" t="str">
        <x:v>EOPT VAT / percentage-tax sales recognition and invoicing</x:v>
      </x:c>
      <x:c r="D10" s="10" t="str">
        <x:v>https://bir-cdn.bir.gov.ph/BIR/pdf/RR%203-2024%20%28final%29.pdf</x:v>
      </x:c>
    </x:row>
    <x:row r="11" ht="49" customHeight="1">
      <x:c r="A11" s="11" t="str">
        <x:v>S6</x:v>
      </x:c>
      <x:c r="B11" s="11" t="str">
        <x:v>BIR payment and remittance forms</x:v>
      </x:c>
      <x:c r="C11" s="11" t="str">
        <x:v>Descriptions and filing dates for withholding returns</x:v>
      </x:c>
      <x:c r="D11" s="11" t="str">
        <x:v>https://www.bir.gov.ph/bir-forms?idTag=BIR0605&amp;tab=Payment%2FRemittance+Forms&amp;type=TAB+LINK</x:v>
      </x:c>
    </x:row>
    <x:row r="12" ht="49" customHeight="1">
      <x:c r="A12" s="10" t="str">
        <x:v>S7</x:v>
      </x:c>
      <x:c r="B12" s="10" t="str">
        <x:v>RMC 50-2018</x:v>
      </x:c>
      <x:c r="C12" s="10" t="str">
        <x:v>Withholding forms, first-two-month remittances, 2307 and alphalists</x:v>
      </x:c>
      <x:c r="D12" s="10" t="str">
        <x:v>https://bir-cdn.bir.gov.ph/local/pdf/RMC%20No%2050-2018.pdf</x:v>
      </x:c>
    </x:row>
    <x:row r="13" ht="49" customHeight="1">
      <x:c r="A13" s="11" t="str">
        <x:v>S8</x:v>
      </x:c>
      <x:c r="B13" s="11" t="str">
        <x:v>RR 7-2025 digest</x:v>
      </x:c>
      <x:c r="C13" s="11" t="str">
        <x:v>Regular and applicable preferential corporate income-tax rates</x:v>
      </x:c>
      <x:c r="D13" s="11" t="str">
        <x:v>https://bir-cdn.bir.gov.ph/BIR/pdf/RR%207-2025.pdf</x:v>
      </x:c>
    </x:row>
    <x:row r="14" ht="49" customHeight="1">
      <x:c r="A14" s="10" t="str">
        <x:v>S9</x:v>
      </x:c>
      <x:c r="B14" s="10" t="str">
        <x:v>RR 11-2018 digest</x:v>
      </x:c>
      <x:c r="C14" s="10" t="str">
        <x:v>Substituted filing conditions for employees</x:v>
      </x:c>
      <x:c r="D14" s="10" t="str">
        <x:v>https://bir-cdn.bir.gov.ph/local/pdf/Digest%20RR%2011-2018.pdf</x:v>
      </x:c>
    </x:row>
    <x:row r="15" ht="49" customHeight="1">
      <x:c r="A15" s="11" t="str">
        <x:v>S10</x:v>
      </x:c>
      <x:c r="B15" s="11" t="str">
        <x:v>RMC 112-2026</x:v>
      </x:c>
      <x:c r="C15" s="11" t="str">
        <x:v>CWT on invoices; transitions and supporting certificates</x:v>
      </x:c>
      <x:c r="D15" s="11" t="str">
        <x:v>https://bir-cdn.bir.gov.ph/BIR/pdf/RMC%20No.%20112-2026_redacted.pdf</x:v>
      </x:c>
    </x:row>
    <x:row r="16" ht="49" customHeight="1">
      <x:c r="A16" s="10" t="str">
        <x:v>S11</x:v>
      </x:c>
      <x:c r="B16" s="10" t="str">
        <x:v>RR 7-2024</x:v>
      </x:c>
      <x:c r="C16" s="10" t="str">
        <x:v>Registration and invoicing under the EOPT Act</x:v>
      </x:c>
      <x:c r="D16" s="10" t="str">
        <x:v>https://bir-cdn.bir.gov.ph/BIR/pdf/RR%20No.%207-%202024.pdf</x:v>
      </x:c>
    </x:row>
    <x:row r="17" ht="49" customHeight="1">
      <x:c r="A17" s="11" t="str">
        <x:v>S12</x:v>
      </x:c>
      <x:c r="B17" s="11" t="str">
        <x:v>RMC 52-2023</x:v>
      </x:c>
      <x:c r="C17" s="11" t="str">
        <x:v>Optional monthly VAT filing; mandatory quarterly return</x:v>
      </x:c>
      <x:c r="D17" s="11" t="str">
        <x:v>https://bir-cdn.bir.gov.ph/local/pdf/RMC%20No.%2052-2023%20%281%29.pdf</x:v>
      </x:c>
    </x:row>
    <x:row r="18" ht="49" customHeight="1">
      <x:c r="A18" s="10" t="str">
        <x:v>S13</x:v>
      </x:c>
      <x:c r="B18" s="10" t="str">
        <x:v>BIR income-tax form descriptions</x:v>
      </x:c>
      <x:c r="C18" s="10" t="str">
        <x:v>1706, 1707 and 1707-A applicability and timing</x:v>
      </x:c>
      <x:c r="D18" s="10" t="str">
        <x:v>https://www.bir.gov.ph/bir-forms?datasetCode=3381&amp;idTag=BIR1702-EX&amp;label=1702-EX&amp;tab=Income+Tax+Return&amp;type=TAB+LINK</x:v>
      </x:c>
    </x:row>
    <x:row r="19" ht="49" customHeight="1">
      <x:c r="A19" s="11" t="str">
        <x:v>S14</x:v>
      </x:c>
      <x:c r="B19" s="11" t="str">
        <x:v>BIR transfer-tax forms</x:v>
      </x:c>
      <x:c r="C19" s="11" t="str">
        <x:v>1800 donor and 1801 estate tax</x:v>
      </x:c>
      <x:c r="D19" s="11" t="str">
        <x:v>https://www.bir.gov.ph/bir-forms?tab=Transfer+Tax+Return</x:v>
      </x:c>
    </x:row>
    <x:row r="20" ht="49" customHeight="1">
      <x:c r="A20" s="10" t="str">
        <x:v>S15</x:v>
      </x:c>
      <x:c r="B20" s="10" t="str">
        <x:v>BIR eFPS FAQ</x:v>
      </x:c>
      <x:c r="C20" s="10" t="str">
        <x:v>General income-tax and VAT return deadlines</x:v>
      </x:c>
      <x:c r="D20" s="10" t="str">
        <x:v>https://efps.bir.gov.ph/eFPSFAQ.html</x:v>
      </x:c>
    </x:row>
    <x:row r="21" ht="49" customHeight="1">
      <x:c r="A21" s="11" t="str">
        <x:v>S16</x:v>
      </x:c>
      <x:c r="B21" s="11" t="str">
        <x:v>RMC 98-2026</x:v>
      </x:c>
      <x:c r="C21" s="11" t="str">
        <x:v>Electronic invoice rules, covered taxpayers and office-productivity documents</x:v>
      </x:c>
      <x:c r="D21" s="11" t="str">
        <x:v>https://bir-cdn.bir.gov.ph/BIR/pdf/RMC%20No.%2098-2026%20redacted.pdf</x:v>
      </x:c>
    </x:row>
    <x:row r="22" ht="49" customHeight="1">
      <x:c r="A22" s="10" t="str">
        <x:v>S17</x:v>
      </x:c>
      <x:c r="B22" s="10" t="str">
        <x:v>BIR 2026 issuances</x:v>
      </x:c>
      <x:c r="C22" s="10" t="str">
        <x:v>Current circulars including system-related extensions</x:v>
      </x:c>
      <x:c r="D22" s="10" t="str">
        <x:v>https://www.bir.gov.ph/2026-Revenue-Memorandum-Circulars?label=2026&amp;type=PAGE</x:v>
      </x:c>
    </x:row>
  </x:sheetData>
  <x:pageMargins left="0.7" right="0.7" top="0.75" bottom="0.75" header="0.3" footer="0.3"/>
</x:worksheet>
</file>