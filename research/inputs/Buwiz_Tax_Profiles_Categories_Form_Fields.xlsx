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852337ff7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" sheetId="1" r:id="Rc3a6b7a7df904b6d"/>
    <x:sheet xmlns:r="http://schemas.openxmlformats.org/officeDocument/2006/relationships" name="Category catalog" sheetId="2" r:id="Ra2462ce07eef45a3"/>
    <x:sheet xmlns:r="http://schemas.openxmlformats.org/officeDocument/2006/relationships" name="Category field rules" sheetId="3" r:id="R3240981835b343ab"/>
    <x:sheet xmlns:r="http://schemas.openxmlformats.org/officeDocument/2006/relationships" name="2551Q fields" sheetId="4" r:id="R705b9a759acf4102"/>
    <x:sheet xmlns:r="http://schemas.openxmlformats.org/officeDocument/2006/relationships" name="1601-C fields" sheetId="5" r:id="R2502bee8a43a46de"/>
    <x:sheet xmlns:r="http://schemas.openxmlformats.org/officeDocument/2006/relationships" name="1701-MS fields" sheetId="6" r:id="Rd29d5de7320244b2"/>
    <x:sheet xmlns:r="http://schemas.openxmlformats.org/officeDocument/2006/relationships" name="Worked example" sheetId="7" r:id="R7ef373a913bd459d"/>
    <x:sheet xmlns:r="http://schemas.openxmlformats.org/officeDocument/2006/relationships" name="Example data" sheetId="8" r:id="Rc6f03deccc4e4a4b"/>
    <x:sheet xmlns:r="http://schemas.openxmlformats.org/officeDocument/2006/relationships" name="Form catalog" sheetId="9" r:id="R1e792f3549084f6b"/>
    <x:sheet xmlns:r="http://schemas.openxmlformats.org/officeDocument/2006/relationships" name="Build notes and sources" sheetId="10" r:id="Rfe25ef02b7ca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.00"/>
    <x:numFmt numFmtId="202" formatCode="#,##0.00;[Red](#,##0.00);–"/>
  </x:numFmts>
  <x:fonts count="10">
    <x:font>
      <x:sz val="11"/>
      <x:name val="Carlito"/>
    </x:font>
    <x:font>
      <x:b/>
      <x:sz val="15"/>
      <x:color rgb="FF17324D"/>
      <x:name val="Arial"/>
    </x:font>
    <x:font>
      <x:i/>
      <x:sz val="10"/>
      <x:color rgb="FF526474"/>
      <x:name val="Arial"/>
    </x:font>
    <x:font>
      <x:sz val="10"/>
      <x:color rgb="FF526474"/>
      <x:name val="Arial"/>
    </x:font>
    <x:font>
      <x:b/>
      <x:sz val="10"/>
      <x:color rgb="FFFFFFFF"/>
      <x:name val="Arial"/>
    </x:font>
    <x:font>
      <x:sz val="10"/>
      <x:color rgb="FF1C2935"/>
      <x:name val="Arial"/>
    </x:font>
    <x:font>
      <x:b/>
      <x:sz val="11"/>
      <x:color rgb="FF17324D"/>
      <x:name val="Arial"/>
    </x:font>
    <x:font>
      <x:sz val="10"/>
      <x:color rgb="FF7B4D00"/>
      <x:name val="Arial"/>
    </x:font>
    <x:font>
      <x:b/>
      <x:sz val="10"/>
      <x:color rgb="FF1C2935"/>
      <x:name val="Arial"/>
    </x:font>
    <x:font>
      <x:b/>
      <x:sz val="10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  <x:fill>
      <x:patternFill patternType="solid">
        <x:fgColor rgb="FFF4F7FA"/>
      </x:patternFill>
    </x:fill>
    <x:fill>
      <x:patternFill patternType="solid">
        <x:fgColor rgb="FFEAF2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0" fontId="0" fillId="0" borderId="0" xfId="0" applyNumberFormat="1" applyFont="1" applyFill="1" applyBorder="1"/>
    <x:xf numFmtId="0" fontId="8" fillId="2" borderId="0" xfId="0" applyNumberFormat="1" applyFont="1" applyFill="1" applyBorder="1"/>
    <x:xf numFmtId="200" fontId="5" fillId="0" borderId="0" xfId="0" applyNumberFormat="1" applyFont="1" applyFill="1" applyBorder="1"/>
    <x:xf numFmtId="0" fontId="5" fillId="5" borderId="0" xfId="0" applyNumberFormat="1" applyFont="1" applyFill="1" applyBorder="1"/>
    <x:xf numFmtId="0" fontId="9" fillId="5" borderId="0" xfId="0" applyNumberFormat="1" applyFont="1" applyFill="1" applyBorder="1"/>
    <x:xf numFmtId="202" fontId="5" fillId="0" borderId="0" xfId="0" applyNumberFormat="1" applyFont="1" applyFill="1" applyBorder="1"/>
    <x:xf numFmtId="202" fontId="9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a448ebdf64338" /><Relationship Type="http://schemas.openxmlformats.org/officeDocument/2006/relationships/theme" Target="/xl/theme/theme1.xml" Id="R7e10cf4253494956" /><Relationship Type="http://schemas.openxmlformats.org/officeDocument/2006/relationships/sharedStrings" Target="/xl/sharedStrings.xml" Id="R215d90fcef684930" /><Relationship Type="http://schemas.openxmlformats.org/officeDocument/2006/relationships/worksheet" Target="/xl/worksheets/sheet1.xml" Id="Rc3a6b7a7df904b6d" /><Relationship Type="http://schemas.openxmlformats.org/officeDocument/2006/relationships/worksheet" Target="/xl/worksheets/sheet2.xml" Id="Ra2462ce07eef45a3" /><Relationship Type="http://schemas.openxmlformats.org/officeDocument/2006/relationships/worksheet" Target="/xl/worksheets/sheet3.xml" Id="R3240981835b343ab" /><Relationship Type="http://schemas.openxmlformats.org/officeDocument/2006/relationships/worksheet" Target="/xl/worksheets/sheet4.xml" Id="R705b9a759acf4102" /><Relationship Type="http://schemas.openxmlformats.org/officeDocument/2006/relationships/worksheet" Target="/xl/worksheets/sheet5.xml" Id="R2502bee8a43a46de" /><Relationship Type="http://schemas.openxmlformats.org/officeDocument/2006/relationships/worksheet" Target="/xl/worksheets/sheet6.xml" Id="Rd29d5de7320244b2" /><Relationship Type="http://schemas.openxmlformats.org/officeDocument/2006/relationships/worksheet" Target="/xl/worksheets/sheet7.xml" Id="R7ef373a913bd459d" /><Relationship Type="http://schemas.openxmlformats.org/officeDocument/2006/relationships/worksheet" Target="/xl/worksheets/sheet8.xml" Id="Rc6f03deccc4e4a4b" /><Relationship Type="http://schemas.openxmlformats.org/officeDocument/2006/relationships/worksheet" Target="/xl/worksheets/sheet9.xml" Id="R1e792f3549084f6b" /><Relationship Type="http://schemas.openxmlformats.org/officeDocument/2006/relationships/worksheet" Target="/xl/worksheets/sheet10.xml" Id="Rfe25ef02b7ca4bcb" /></Relationships>
</file>

<file path=xl/tables/table1.xml><?xml version="1.0" encoding="utf-8"?>
<x:table xmlns:x="http://schemas.openxmlformats.org/spreadsheetml/2006/main" id="1" name="CategoryCatalog" displayName="CategoryCatalog" ref="A5:I64" headerRowCount="1" totalsRowCount="0" totalsRowShown="0">
  <x:autoFilter ref="A5:I64"/>
  <x:tableColumns count="9">
    <x:tableColumn id="1" name="Category key"/>
    <x:tableColumn id="2" name="Display name"/>
    <x:tableColumn id="3" name="Account type"/>
    <x:tableColumn id="4" name="Account no."/>
    <x:tableColumn id="5" name="Origin"/>
    <x:tableColumn id="6" name="Activation rule"/>
    <x:tableColumn id="7" name="Selection"/>
    <x:tableColumn id="8" name="Purpose"/>
    <x:tableColumn id="9" name="Checks / tax dimens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MappingRules" displayName="MappingRules" ref="A5:G57" headerRowCount="1" totalsRowCount="0" totalsRowShown="0">
  <x:autoFilter ref="A5:G57"/>
  <x:tableColumns count="7">
    <x:tableColumn id="1" name="Category key"/>
    <x:tableColumn id="2" name="Form"/>
    <x:tableColumn id="3" name="Target field"/>
    <x:tableColumn id="4" name="Mapping method"/>
    <x:tableColumn id="5" name="Period"/>
    <x:tableColumn id="6" name="Required filter / dimension"/>
    <x:tableColumn id="7" name="Review or exclu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Fields2551Q" displayName="Fields2551Q" ref="A5:H76" headerRowCount="1" totalsRowCount="0" totalsRowShown="0">
  <x:autoFilter ref="A5:H76"/>
  <x:tableColumns count="8">
    <x:tableColumn id="1" name="Section"/>
    <x:tableColumn id="2" name="Field ID"/>
    <x:tableColumn id="3" name="BIR field"/>
    <x:tableColumn id="4" name="Origin"/>
    <x:tableColumn id="5" name="Source / data"/>
    <x:tableColumn id="6" name="Rule or condition"/>
    <x:tableColumn id="7" name="Grain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Fields1601C" displayName="Fields1601C" ref="A5:H83" headerRowCount="1" totalsRowCount="0" totalsRowShown="0">
  <x:autoFilter ref="A5:H83"/>
  <x:tableColumns count="8">
    <x:tableColumn id="1" name="Section"/>
    <x:tableColumn id="2" name="Field ID"/>
    <x:tableColumn id="3" name="BIR field"/>
    <x:tableColumn id="4" name="Origin"/>
    <x:tableColumn id="5" name="Source / data"/>
    <x:tableColumn id="6" name="Rule or condition"/>
    <x:tableColumn id="7" name="Grain"/>
    <x:tableColumn id="8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Fields1701MS" displayName="Fields1701MS" ref="A5:H100" headerRowCount="1" totalsRowCount="0" totalsRowShown="0">
  <x:autoFilter ref="A5:H100"/>
  <x:tableColumns count="8">
    <x:tableColumn id="1" name="Section"/>
    <x:tableColumn id="2" name="Field ID"/>
    <x:tableColumn id="3" name="BIR field"/>
    <x:tableColumn id="4" name="Origin"/>
    <x:tableColumn id="5" name="Source / data"/>
    <x:tableColumn id="6" name="Rule or condition"/>
    <x:tableColumn id="7" name="Grain"/>
    <x:tableColumn id="8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rmCatalog" displayName="FormCatalog" ref="A5:H31" headerRowCount="1" totalsRowCount="0" totalsRowShown="0">
  <x:autoFilter ref="A5:H31"/>
  <x:tableColumns count="8">
    <x:tableColumn id="1" name="Form"/>
    <x:tableColumn id="2" name="Purpose"/>
    <x:tableColumn id="3" name="Entity scope"/>
    <x:tableColumn id="4" name="Typical trigger"/>
    <x:tableColumn id="5" name="Frequency"/>
    <x:tableColumn id="6" name="Coverage"/>
    <x:tableColumn id="7" name="Entity screen"/>
    <x:tableColumn id="8" name="Profile sele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uildNotesSources" displayName="BuildNotesSources" ref="A5:D43" headerRowCount="1" totalsRowCount="0" totalsRowShown="0">
  <x:autoFilter ref="A5:D43"/>
  <x:tableColumns count="4">
    <x:tableColumn id="1" name="Type / ID"/>
    <x:tableColumn id="2" name="Topic / source"/>
    <x:tableColumn id="3" name="Implementation or source note"/>
    <x:tableColumn id="4" name="Reference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c88902cfbe42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5a3e20758c47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cb9ade51ed45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cbd7eeb9d640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cf403135a34c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dbc740f31ac449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a474816926ed4e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42" hidden="0" customWidth="1"/>
    <x:col min="3" max="3" width="24" hidden="0" customWidth="1"/>
    <x:col min="4" max="4" width="4" hidden="0" customWidth="1"/>
    <x:col min="5" max="5" width="28" hidden="0" customWidth="1"/>
    <x:col min="6" max="6" width="34" hidden="0" customWidth="1"/>
    <x:col min="7" max="7" width="18" hidden="0" customWidth="1"/>
  </x:cols>
  <x:sheetData>
    <x:row r="1" ht="24" customHeight="1">
      <x:c r="A1" s="1" t="str">
        <x:v>Buwiz Books: tax profile and category selection</x:v>
      </x:c>
    </x:row>
    <x:row r="2" ht="24" customHeight="1">
      <x:c r="A2" s="2" t="str">
        <x:v>Choose a legal filer and mark relevant forms in both panels. Yellow cells are editable.</x:v>
      </x:c>
    </x:row>
    <x:row r="3" ht="24" customHeight="1">
      <x:c r="A3" s="3" t="str">
        <x:v>This is a design selector, not a determination of legal filing obligations.</x:v>
      </x:c>
    </x:row>
    <x:row r="5" ht="25" customHeight="1">
      <x:c r="A5" s="5" t="str">
        <x:v>Profile attribute</x:v>
      </x:c>
      <x:c r="B5" s="5" t="str">
        <x:v>Meaning</x:v>
      </x:c>
      <x:c r="C5" s="5" t="str">
        <x:v>Value</x:v>
      </x:c>
      <x:c r="E5" s="5" t="str">
        <x:v>Additional forms</x:v>
      </x:c>
      <x:c r="F5" s="5" t="str">
        <x:v>Purpose</x:v>
      </x:c>
      <x:c r="G5" s="5" t="str">
        <x:v>Selected</x:v>
      </x:c>
    </x:row>
    <x:row r="6" ht="25" customHeight="1">
      <x:c r="A6" s="6" t="str">
        <x:v>Filer type</x:v>
      </x:c>
      <x:c r="B6" s="6" t="str">
        <x:v>Legal form</x:v>
      </x:c>
      <x:c r="C6" s="7" t="str">
        <x:v>Individual</x:v>
      </x:c>
      <x:c r="E6" t="str">
        <x:v>1701Q</x:v>
      </x:c>
      <x:c r="F6" t="str">
        <x:v>Individual quarterly income tax</x:v>
      </x:c>
      <x:c r="G6" s="8" t="str">
        <x:v>Yes</x:v>
      </x:c>
    </x:row>
    <x:row r="7" ht="25" customHeight="1">
      <x:c r="A7" s="6" t="str">
        <x:v>2551Q selected</x:v>
      </x:c>
      <x:c r="B7" s="6" t="str">
        <x:v>Quarterly percentage tax</x:v>
      </x:c>
      <x:c r="C7" s="7" t="str">
        <x:v>Yes</x:v>
      </x:c>
      <x:c r="E7" t="str">
        <x:v>1702 group</x:v>
      </x:c>
      <x:c r="F7" t="str">
        <x:v>Corporate / partnership income tax</x:v>
      </x:c>
      <x:c r="G7" s="8" t="str">
        <x:v>No</x:v>
      </x:c>
    </x:row>
    <x:row r="8" ht="25" customHeight="1">
      <x:c r="A8" s="6" t="str">
        <x:v>1601-C selected</x:v>
      </x:c>
      <x:c r="B8" s="6" t="str">
        <x:v>Employer compensation withholding</x:v>
      </x:c>
      <x:c r="C8" s="7" t="str">
        <x:v>Yes</x:v>
      </x:c>
      <x:c r="E8" t="str">
        <x:v>2550Q</x:v>
      </x:c>
      <x:c r="F8" t="str">
        <x:v>VAT</x:v>
      </x:c>
      <x:c r="G8" s="8" t="str">
        <x:v>No</x:v>
      </x:c>
    </x:row>
    <x:row r="9" ht="25" customHeight="1">
      <x:c r="A9" s="6" t="str">
        <x:v>1701-MS selected</x:v>
      </x:c>
      <x:c r="B9" s="6" t="str">
        <x:v>Eligible micro / small annual individual return</x:v>
      </x:c>
      <x:c r="C9" s="7" t="str">
        <x:v>Yes</x:v>
      </x:c>
      <x:c r="E9" t="str">
        <x:v>0619-E / 1601-EQ</x:v>
      </x:c>
      <x:c r="F9" t="str">
        <x:v>Supplier expanded withholding</x:v>
      </x:c>
      <x:c r="G9" s="8" t="str">
        <x:v>No</x:v>
      </x:c>
    </x:row>
    <x:row r="10" ht="25" customHeight="1">
      <x:c r="A10" s="6" t="str">
        <x:v>Income tax regime</x:v>
      </x:c>
      <x:c r="B10" s="6" t="str">
        <x:v>For the annual return</x:v>
      </x:c>
      <x:c r="C10" s="7" t="str">
        <x:v>Graduated</x:v>
      </x:c>
      <x:c r="E10" t="str">
        <x:v>1701 / 1701A</x:v>
      </x:c>
      <x:c r="F10" t="str">
        <x:v>Other individual annual return</x:v>
      </x:c>
      <x:c r="G10" s="8" t="str">
        <x:v>No</x:v>
      </x:c>
    </x:row>
    <x:row r="11" ht="25" customHeight="1">
      <x:c r="A11" s="6" t="str">
        <x:v>Deduction method</x:v>
      </x:c>
      <x:c r="B11" s="6" t="str">
        <x:v>When graduated rates apply</x:v>
      </x:c>
      <x:c r="C11" s="7" t="str">
        <x:v>OSD</x:v>
      </x:c>
    </x:row>
    <x:row r="12" ht="25" customHeight="1">
      <x:c r="A12" s="6" t="str">
        <x:v>Filer earns compensation</x:v>
      </x:c>
      <x:c r="B12" s="6" t="str">
        <x:v>Owner/taxpayer salary, not employee payroll</x:v>
      </x:c>
      <x:c r="C12" s="7" t="str">
        <x:v>No</x:v>
      </x:c>
      <x:c r="E12" t="str">
        <x:v>These extra forms suggest categories only. Their detailed form-field dictionaries are not yet included.</x:v>
      </x:c>
    </x:row>
    <x:row r="13" ht="25" customHeight="1">
      <x:c r="A13" s="6" t="str">
        <x:v>Taxable year</x:v>
      </x:c>
      <x:c r="B13" s="6" t="str">
        <x:v>Reference only; the worked example is fixed</x:v>
      </x:c>
      <x:c r="C13" s="7" t="n">
        <x:v>2026</x:v>
      </x:c>
      <x:c r="E13" t="str">
        <x:v>1702 group = 1702Q and the applicable 1702 annual return; confirm exact obligations.</x:v>
      </x:c>
    </x:row>
    <x:row r="14" ht="25" customHeight="1">
      <x:c r="A14" s="6" t="str">
        <x:v>Quarter example</x:v>
      </x:c>
      <x:c r="B14" s="6" t="str">
        <x:v>Reference only; the worked example is fixed</x:v>
      </x:c>
      <x:c r="C14" s="7" t="n">
        <x:v>3</x:v>
      </x:c>
    </x:row>
    <x:row r="15" ht="25" customHeight="1">
      <x:c r="A15" s="6" t="str">
        <x:v>Month example</x:v>
      </x:c>
      <x:c r="B15" s="6" t="str">
        <x:v>Reference only; the worked example is fixed</x:v>
      </x:c>
      <x:c r="C15" s="7" t="n">
        <x:v>9</x:v>
      </x:c>
    </x:row>
    <x:row r="17">
      <x:c r="A17" s="9" t="str">
        <x:v>Profile review</x:v>
      </x:c>
    </x:row>
    <x:row r="18">
      <x:c r="A18" s="10" t="str">
        <x:f>IF(AND(C9="Yes",OR(C6="Corporation",C6="Partnership")),"Review: 1701-MS is an individual/fiduciary form, not a corporate return.","Entity/form check: review eligibility against the form instructions.")</x:f>
        <x:v>Entity/form check: review eligibility against the form instructions.</x:v>
      </x:c>
    </x:row>
    <x:row r="19">
      <x:c r="A19" s="10" t="str">
        <x:f>IF(AND(C7="Yes",C10="8%"),"Review: valid 8% generally replaces Section 116; transition or other percentage taxes can still matter.","Review: verify COR tax types, registration, tax elections, period and activity.")</x:f>
        <x:v>Review: verify COR tax types, registration, tax elections, period and activity.</x:v>
      </x:c>
    </x:row>
    <x:row r="20">
      <x:c r="A20" s="10" t="str">
        <x:f>IF(AND(C10="8%",OR(C6="Corporation",C6="Partnership")),"Review: the 8% option is not a corporate / ordinary partnership income-tax regime.",IF(AND(G7="Yes",C6="Individual"),"Review: 1702 forms generally apply to non-individual filers.","Profile choices do not establish legal eligibility or calculate an obligation."))</x:f>
        <x:v>Profile choices do not establish legal eligibility or calculate an obligation.</x:v>
      </x:c>
    </x:row>
    <x:row r="21">
      <x:c r="A21" s="10" t="str">
        <x:f>IF(AND(C9="Yes",G6="No"),"Review whether 1701Q and other COR-based obligations also apply.","Review the entire obligation set, including certificates and required schedules.")</x:f>
        <x:v>Review the entire obligation set, including certificates and required schedules.</x:v>
      </x:c>
    </x:row>
    <x:row r="22">
      <x:c r="A22" s="9" t="str">
        <x:v>How to use</x:v>
      </x:c>
    </x:row>
    <x:row r="23" ht="26" customHeight="1">
      <x:c r="A23" t="str">
        <x:v>1. Select the legal filer and forms in columns C and G. The Category catalog highlights the matching category candidates.</x:v>
      </x:c>
    </x:row>
    <x:row r="24" ht="26" customHeight="1">
      <x:c r="A24" t="str">
        <x:v>2. Filter Category catalog by Suggested / Core, and inspect Category field rules for the exact data and conditions.</x:v>
      </x:c>
    </x:row>
    <x:row r="25" ht="26" customHeight="1">
      <x:c r="A25" t="str">
        <x:v>3. Read all three numbered field dictionaries. Each field states whether it comes from a profile, ledger, payroll, certificate, calculation or human review.</x:v>
      </x:c>
    </x:row>
    <x:row r="26" ht="26" customHeight="1">
      <x:c r="A26" t="str">
        <x:v>4. Worked example demonstrates separate quarterly, monthly and annual sources. Its fictional data is independent of the profile selector.</x:v>
      </x:c>
    </x:row>
    <x:row r="27" ht="26" customHeight="1">
      <x:c r="A27" t="str">
        <x:v>5. COR tax types are a starting point. Elections, activities, transactions, legal entity, dates and other BIR records can add or change obligations.</x:v>
      </x:c>
    </x:row>
    <x:row r="28" ht="26" customHeight="1">
      <x:c r="A28" t="str">
        <x:v>6. Exact field coverage is limited to 2551Q Jan 2018, 1601-C Jan 2018, and 1701-MS Aug 2024. Other forms are cataloged as pending.</x:v>
      </x:c>
    </x:row>
    <x:row r="29" ht="26" customHeight="1">
      <x:c r="A29" t="str">
        <x:v>7. A selected 1601-C means the filer is an employer. It does not mean the owner earns compensation or loses the pure-business 8% reduction.</x:v>
      </x:c>
    </x:row>
  </x:sheetData>
  <x:dataValidations count="8">
    <x:dataValidation type="list" sqref="C6">
      <x:formula1>"Individual,Corporation,Partnership,Estate/Trust"</x:formula1>
    </x:dataValidation>
    <x:dataValidation type="list" sqref="C7">
      <x:formula1>"Yes,No"</x:formula1>
    </x:dataValidation>
    <x:dataValidation type="list" sqref="C8">
      <x:formula1>"Yes,No"</x:formula1>
    </x:dataValidation>
    <x:dataValidation type="list" sqref="C9">
      <x:formula1>"Yes,No"</x:formula1>
    </x:dataValidation>
    <x:dataValidation type="list" sqref="C12">
      <x:formula1>"Yes,No"</x:formula1>
    </x:dataValidation>
    <x:dataValidation type="list" sqref="C10">
      <x:formula1>"Graduated,8%,Special/Exempt,Unknown"</x:formula1>
    </x:dataValidation>
    <x:dataValidation type="list" sqref="C11">
      <x:formula1>"OSD,Itemized,Not applicable,Unknown"</x:formula1>
    </x:dataValidation>
    <x:dataValidation type="list" sqref="G6:G1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1" hidden="0" customWidth="1"/>
    <x:col min="3" max="3" width="18" hidden="0" customWidth="1"/>
    <x:col min="4" max="4" width="15" hidden="0" customWidth="1"/>
    <x:col min="5" max="5" width="20" hidden="0" customWidth="1"/>
    <x:col min="6" max="6" width="19" hidden="0" customWidth="1"/>
    <x:col min="7" max="7" width="17" hidden="0" customWidth="1"/>
    <x:col min="8" max="8" width="42" hidden="0" customWidth="1"/>
    <x:col min="9" max="9" width="54" hidden="0" customWidth="1"/>
  </x:cols>
  <x:sheetData>
    <x:row r="1" ht="24" customHeight="1">
      <x:c r="A1" s="1" t="str">
        <x:v>Category catalog</x:v>
      </x:c>
    </x:row>
    <x:row r="2" ht="24" customHeight="1">
      <x:c r="A2" s="2" t="str">
        <x:v>Filter the “Selection” column after changing Profile. Existing keys and numbers are copied from the pinned Buwiz preset.</x:v>
      </x:c>
    </x:row>
    <x:row r="3" ht="24" customHeight="1">
      <x:c r="A3" s="3" t="str">
        <x:v>Core accounting categories remain useful even when no tax form directly needs them. Proposed keys have no account number.</x:v>
      </x:c>
    </x:row>
    <x:row r="5" ht="32" customHeight="1">
      <x:c r="A5" s="14" t="str">
        <x:v>Category key</x:v>
      </x:c>
      <x:c r="B5" s="14" t="str">
        <x:v>Display name</x:v>
      </x:c>
      <x:c r="C5" s="14" t="str">
        <x:v>Account type</x:v>
      </x:c>
      <x:c r="D5" s="14" t="str">
        <x:v>Account no.</x:v>
      </x:c>
      <x:c r="E5" s="14" t="str">
        <x:v>Origin</x:v>
      </x:c>
      <x:c r="F5" s="14" t="str">
        <x:v>Activation rule</x:v>
      </x:c>
      <x:c r="G5" s="14" t="str">
        <x:v>Selection</x:v>
      </x:c>
      <x:c r="H5" s="14" t="str">
        <x:v>Purpose</x:v>
      </x:c>
      <x:c r="I5" s="14" t="str">
        <x:v>Checks / tax dimensions</x:v>
      </x:c>
    </x:row>
    <x:row r="6" ht="46" customHeight="1">
      <x:c r="A6" s="12" t="str">
        <x:v>bank_accounts</x:v>
      </x:c>
      <x:c r="B6" s="12" t="str">
        <x:v>Bank Accounts</x:v>
      </x:c>
      <x:c r="C6" s="12" t="str">
        <x:v>asset</x:v>
      </x:c>
      <x:c r="D6" s="12" t="str">
        <x:v>11000</x:v>
      </x:c>
      <x:c r="E6" s="12" t="str">
        <x:v>Existing base</x:v>
      </x:c>
      <x:c r="F6" s="12" t="str">
        <x:v>Always</x:v>
      </x:c>
      <x:c r="G6" s="12" t="str">
        <x:f>IF(F6="Always","CORE",IF(OR(AND(F6="INDIVIDUAL",Profile!$C$6="Individual"),AND(F6="PT",Profile!$C$7="Yes"),AND(F6="PAYROLL",Profile!$C$8="Yes"),AND(F6="IT",OR(Profile!$C$9="Yes",Profile!$G$6="Yes",Profile!$G$7="Yes",Profile!$G$10="Yes")),AND(F6="IT_OR_PAYROLL",OR(Profile!$C$8="Yes",OR(Profile!$C$9="Yes",Profile!$G$6="Yes",Profile!$G$7="Yes",Profile!$G$10="Yes"))),AND(F6="VAT",Profile!$G$8="Yes"),AND(F6="EWT",Profile!$G$9="Yes")),"SUGGESTED","OPTIONAL"))</x:f>
        <x:v>CORE</x:v>
      </x:c>
      <x:c r="H6" s="12" t="str">
        <x:v>Cash and bank movements; reconcile</x:v>
      </x:c>
      <x:c r="I6" s="12" t="str">
        <x:v>No direct sales inference</x:v>
      </x:c>
    </x:row>
    <x:row r="7" ht="46" customHeight="1">
      <x:c r="A7" s="15" t="str">
        <x:v>accounts_receivable_gross</x:v>
      </x:c>
      <x:c r="B7" s="15" t="str">
        <x:v>Accounts Receivable - Gross</x:v>
      </x:c>
      <x:c r="C7" s="15" t="str">
        <x:v>asset</x:v>
      </x:c>
      <x:c r="D7" s="15" t="str">
        <x:v>12010</x:v>
      </x:c>
      <x:c r="E7" s="15" t="str">
        <x:v>Existing base</x:v>
      </x:c>
      <x:c r="F7" s="15" t="str">
        <x:v>Always</x:v>
      </x:c>
      <x:c r="G7" s="15" t="str">
        <x:f>IF(F7="Always","CORE",IF(OR(AND(F7="INDIVIDUAL",Profile!$C$6="Individual"),AND(F7="PT",Profile!$C$7="Yes"),AND(F7="PAYROLL",Profile!$C$8="Yes"),AND(F7="IT",OR(Profile!$C$9="Yes",Profile!$G$6="Yes",Profile!$G$7="Yes",Profile!$G$10="Yes")),AND(F7="IT_OR_PAYROLL",OR(Profile!$C$8="Yes",OR(Profile!$C$9="Yes",Profile!$G$6="Yes",Profile!$G$7="Yes",Profile!$G$10="Yes"))),AND(F7="VAT",Profile!$G$8="Yes"),AND(F7="EWT",Profile!$G$9="Yes")),"SUGGESTED","OPTIONAL"))</x:f>
        <x:v>CORE</x:v>
      </x:c>
      <x:c r="H7" s="15" t="str">
        <x:v>Outstanding customer invoices</x:v>
      </x:c>
      <x:c r="I7" s="15" t="str">
        <x:v>Sales occur separately; do not use collections as revenue</x:v>
      </x:c>
    </x:row>
    <x:row r="8" ht="46" customHeight="1">
      <x:c r="A8" s="12" t="str">
        <x:v>inventory</x:v>
      </x:c>
      <x:c r="B8" s="12" t="str">
        <x:v>Inventory</x:v>
      </x:c>
      <x:c r="C8" s="12" t="str">
        <x:v>asset</x:v>
      </x:c>
      <x:c r="D8" s="12" t="str">
        <x:v>13500</x:v>
      </x:c>
      <x:c r="E8" s="12" t="str">
        <x:v>Existing base</x:v>
      </x:c>
      <x:c r="F8" s="12" t="str">
        <x:v>Always</x:v>
      </x:c>
      <x:c r="G8" s="12" t="str">
        <x:f>IF(F8="Always","CORE",IF(OR(AND(F8="INDIVIDUAL",Profile!$C$6="Individual"),AND(F8="PT",Profile!$C$7="Yes"),AND(F8="PAYROLL",Profile!$C$8="Yes"),AND(F8="IT",OR(Profile!$C$9="Yes",Profile!$G$6="Yes",Profile!$G$7="Yes",Profile!$G$10="Yes")),AND(F8="IT_OR_PAYROLL",OR(Profile!$C$8="Yes",OR(Profile!$C$9="Yes",Profile!$G$6="Yes",Profile!$G$7="Yes",Profile!$G$10="Yes"))),AND(F8="VAT",Profile!$G$8="Yes"),AND(F8="EWT",Profile!$G$9="Yes")),"SUGGESTED","OPTIONAL"))</x:f>
        <x:v>CORE</x:v>
      </x:c>
      <x:c r="H8" s="12" t="str">
        <x:v>Stock held for sale</x:v>
      </x:c>
      <x:c r="I8" s="12" t="str">
        <x:v>Use cost of goods sold when goods leave inventory</x:v>
      </x:c>
    </x:row>
    <x:row r="9" ht="46" customHeight="1">
      <x:c r="A9" s="15" t="str">
        <x:v>prepaid_expenses</x:v>
      </x:c>
      <x:c r="B9" s="15" t="str">
        <x:v>Prepaid Expenses</x:v>
      </x:c>
      <x:c r="C9" s="15" t="str">
        <x:v>asset</x:v>
      </x:c>
      <x:c r="D9" s="15" t="str">
        <x:v>13000</x:v>
      </x:c>
      <x:c r="E9" s="15" t="str">
        <x:v>Existing base</x:v>
      </x:c>
      <x:c r="F9" s="15" t="str">
        <x:v>Always</x:v>
      </x:c>
      <x:c r="G9" s="15" t="str">
        <x:f>IF(F9="Always","CORE",IF(OR(AND(F9="INDIVIDUAL",Profile!$C$6="Individual"),AND(F9="PT",Profile!$C$7="Yes"),AND(F9="PAYROLL",Profile!$C$8="Yes"),AND(F9="IT",OR(Profile!$C$9="Yes",Profile!$G$6="Yes",Profile!$G$7="Yes",Profile!$G$10="Yes")),AND(F9="IT_OR_PAYROLL",OR(Profile!$C$8="Yes",OR(Profile!$C$9="Yes",Profile!$G$6="Yes",Profile!$G$7="Yes",Profile!$G$10="Yes"))),AND(F9="VAT",Profile!$G$8="Yes"),AND(F9="EWT",Profile!$G$9="Yes")),"SUGGESTED","OPTIONAL"))</x:f>
        <x:v>CORE</x:v>
      </x:c>
      <x:c r="H9" s="15" t="str">
        <x:v>Payments for future benefit</x:v>
      </x:c>
      <x:c r="I9" s="15" t="str">
        <x:v>Recognize allowable expense at the proper time</x:v>
      </x:c>
    </x:row>
    <x:row r="10" ht="46" customHeight="1">
      <x:c r="A10" s="12" t="str">
        <x:v>computer_assets</x:v>
      </x:c>
      <x:c r="B10" s="12" t="str">
        <x:v>Computer Assets</x:v>
      </x:c>
      <x:c r="C10" s="12" t="str">
        <x:v>asset</x:v>
      </x:c>
      <x:c r="D10" s="12" t="str">
        <x:v>16100</x:v>
      </x:c>
      <x:c r="E10" s="12" t="str">
        <x:v>Existing base</x:v>
      </x:c>
      <x:c r="F10" s="12" t="str">
        <x:v>Always</x:v>
      </x:c>
      <x:c r="G10" s="12" t="str">
        <x:f>IF(F10="Always","CORE",IF(OR(AND(F10="INDIVIDUAL",Profile!$C$6="Individual"),AND(F10="PT",Profile!$C$7="Yes"),AND(F10="PAYROLL",Profile!$C$8="Yes"),AND(F10="IT",OR(Profile!$C$9="Yes",Profile!$G$6="Yes",Profile!$G$7="Yes",Profile!$G$10="Yes")),AND(F10="IT_OR_PAYROLL",OR(Profile!$C$8="Yes",OR(Profile!$C$9="Yes",Profile!$G$6="Yes",Profile!$G$7="Yes",Profile!$G$10="Yes"))),AND(F10="VAT",Profile!$G$8="Yes"),AND(F10="EWT",Profile!$G$9="Yes")),"SUGGESTED","OPTIONAL"))</x:f>
        <x:v>CORE</x:v>
      </x:c>
      <x:c r="H10" s="12" t="str">
        <x:v>Capital equipment</x:v>
      </x:c>
      <x:c r="I10" s="12" t="str">
        <x:v>Depreciation / tax adjustments rather than automatic full deduction</x:v>
      </x:c>
    </x:row>
    <x:row r="11" ht="46" customHeight="1">
      <x:c r="A11" s="15" t="str">
        <x:v>accounts_payable</x:v>
      </x:c>
      <x:c r="B11" s="15" t="str">
        <x:v>Accounts Payable</x:v>
      </x:c>
      <x:c r="C11" s="15" t="str">
        <x:v>liability</x:v>
      </x:c>
      <x:c r="D11" s="15" t="str">
        <x:v>21000</x:v>
      </x:c>
      <x:c r="E11" s="15" t="str">
        <x:v>Existing base</x:v>
      </x:c>
      <x:c r="F11" s="15" t="str">
        <x:v>Always</x:v>
      </x:c>
      <x:c r="G11" s="15" t="str">
        <x:f>IF(F11="Always","CORE",IF(OR(AND(F11="INDIVIDUAL",Profile!$C$6="Individual"),AND(F11="PT",Profile!$C$7="Yes"),AND(F11="PAYROLL",Profile!$C$8="Yes"),AND(F11="IT",OR(Profile!$C$9="Yes",Profile!$G$6="Yes",Profile!$G$7="Yes",Profile!$G$10="Yes")),AND(F11="IT_OR_PAYROLL",OR(Profile!$C$8="Yes",OR(Profile!$C$9="Yes",Profile!$G$6="Yes",Profile!$G$7="Yes",Profile!$G$10="Yes"))),AND(F11="VAT",Profile!$G$8="Yes"),AND(F11="EWT",Profile!$G$9="Yes")),"SUGGESTED","OPTIONAL"))</x:f>
        <x:v>CORE</x:v>
      </x:c>
      <x:c r="H11" s="15" t="str">
        <x:v>Supplier liability</x:v>
      </x:c>
      <x:c r="I11" s="15" t="str">
        <x:v>Track bill, withholding and payment separately</x:v>
      </x:c>
    </x:row>
    <x:row r="12" ht="46" customHeight="1">
      <x:c r="A12" s="12" t="str">
        <x:v>owners_equity</x:v>
      </x:c>
      <x:c r="B12" s="12" t="str">
        <x:v>Owners Equity</x:v>
      </x:c>
      <x:c r="C12" s="12" t="str">
        <x:v>equity</x:v>
      </x:c>
      <x:c r="D12" s="12" t="str">
        <x:v>32000</x:v>
      </x:c>
      <x:c r="E12" s="12" t="str">
        <x:v>Existing base</x:v>
      </x:c>
      <x:c r="F12" s="12" t="str">
        <x:v>Always</x:v>
      </x:c>
      <x:c r="G12" s="12" t="str">
        <x:f>IF(F12="Always","CORE",IF(OR(AND(F12="INDIVIDUAL",Profile!$C$6="Individual"),AND(F12="PT",Profile!$C$7="Yes"),AND(F12="PAYROLL",Profile!$C$8="Yes"),AND(F12="IT",OR(Profile!$C$9="Yes",Profile!$G$6="Yes",Profile!$G$7="Yes",Profile!$G$10="Yes")),AND(F12="IT_OR_PAYROLL",OR(Profile!$C$8="Yes",OR(Profile!$C$9="Yes",Profile!$G$6="Yes",Profile!$G$7="Yes",Profile!$G$10="Yes"))),AND(F12="VAT",Profile!$G$8="Yes"),AND(F12="EWT",Profile!$G$9="Yes")),"SUGGESTED","OPTIONAL"))</x:f>
        <x:v>CORE</x:v>
      </x:c>
      <x:c r="H12" s="12" t="str">
        <x:v>Owner capital</x:v>
      </x:c>
      <x:c r="I12" s="12" t="str">
        <x:v>Capital is not sales</x:v>
      </x:c>
    </x:row>
    <x:row r="13" ht="46" customHeight="1">
      <x:c r="A13" s="15" t="str">
        <x:v>owner_drawings</x:v>
      </x:c>
      <x:c r="B13" s="15" t="str">
        <x:v>Owner Drawings</x:v>
      </x:c>
      <x:c r="C13" s="15" t="str">
        <x:v>equity</x:v>
      </x:c>
      <x:c r="D13" s="15" t="str"/>
      <x:c r="E13" s="15" t="str">
        <x:v>Proposed</x:v>
      </x:c>
      <x:c r="F13" s="15" t="str">
        <x:v>INDIVIDUAL</x:v>
      </x:c>
      <x:c r="G13" s="15" t="str">
        <x:f>IF(F13="Always","CORE",IF(OR(AND(F13="INDIVIDUAL",Profile!$C$6="Individual"),AND(F13="PT",Profile!$C$7="Yes"),AND(F13="PAYROLL",Profile!$C$8="Yes"),AND(F13="IT",OR(Profile!$C$9="Yes",Profile!$G$6="Yes",Profile!$G$7="Yes",Profile!$G$10="Yes")),AND(F13="IT_OR_PAYROLL",OR(Profile!$C$8="Yes",OR(Profile!$C$9="Yes",Profile!$G$6="Yes",Profile!$G$7="Yes",Profile!$G$10="Yes"))),AND(F13="VAT",Profile!$G$8="Yes"),AND(F13="EWT",Profile!$G$9="Yes")),"SUGGESTED","OPTIONAL"))</x:f>
        <x:v>SUGGESTED</x:v>
      </x:c>
      <x:c r="H13" s="15" t="str">
        <x:v>Owner withdrawals in a sole proprietorship</x:v>
      </x:c>
      <x:c r="I13" s="15" t="str">
        <x:v>Not a corporate salary or dividend; no frozen number assigned</x:v>
      </x:c>
    </x:row>
    <x:row r="14" ht="46" customHeight="1">
      <x:c r="A14" s="12" t="str">
        <x:v>loan_payable</x:v>
      </x:c>
      <x:c r="B14" s="12" t="str">
        <x:v>Loans Payable</x:v>
      </x:c>
      <x:c r="C14" s="12" t="str">
        <x:v>liability</x:v>
      </x:c>
      <x:c r="D14" s="12" t="str"/>
      <x:c r="E14" s="12" t="str">
        <x:v>Proposed</x:v>
      </x:c>
      <x:c r="F14" s="12" t="str">
        <x:v>Always</x:v>
      </x:c>
      <x:c r="G14" s="12" t="str">
        <x:f>IF(F14="Always","CORE",IF(OR(AND(F14="INDIVIDUAL",Profile!$C$6="Individual"),AND(F14="PT",Profile!$C$7="Yes"),AND(F14="PAYROLL",Profile!$C$8="Yes"),AND(F14="IT",OR(Profile!$C$9="Yes",Profile!$G$6="Yes",Profile!$G$7="Yes",Profile!$G$10="Yes")),AND(F14="IT_OR_PAYROLL",OR(Profile!$C$8="Yes",OR(Profile!$C$9="Yes",Profile!$G$6="Yes",Profile!$G$7="Yes",Profile!$G$10="Yes"))),AND(F14="VAT",Profile!$G$8="Yes"),AND(F14="EWT",Profile!$G$9="Yes")),"SUGGESTED","OPTIONAL"))</x:f>
        <x:v>CORE</x:v>
      </x:c>
      <x:c r="H14" s="12" t="str">
        <x:v>Financing principal</x:v>
      </x:c>
      <x:c r="I14" s="12" t="str">
        <x:v>Loan proceeds are not business sales</x:v>
      </x:c>
    </x:row>
    <x:row r="15" ht="46" customHeight="1">
      <x:c r="A15" s="15" t="str">
        <x:v>sales_revenue</x:v>
      </x:c>
      <x:c r="B15" s="15" t="str">
        <x:v>Sales Revenue</x:v>
      </x:c>
      <x:c r="C15" s="15" t="str">
        <x:v>revenue</x:v>
      </x:c>
      <x:c r="D15" s="15" t="str">
        <x:v>41000</x:v>
      </x:c>
      <x:c r="E15" s="15" t="str">
        <x:v>Existing base</x:v>
      </x:c>
      <x:c r="F15" s="15" t="str">
        <x:v>Always</x:v>
      </x:c>
      <x:c r="G15" s="15" t="str">
        <x:f>IF(F15="Always","CORE",IF(OR(AND(F15="INDIVIDUAL",Profile!$C$6="Individual"),AND(F15="PT",Profile!$C$7="Yes"),AND(F15="PAYROLL",Profile!$C$8="Yes"),AND(F15="IT",OR(Profile!$C$9="Yes",Profile!$G$6="Yes",Profile!$G$7="Yes",Profile!$G$10="Yes")),AND(F15="IT_OR_PAYROLL",OR(Profile!$C$8="Yes",OR(Profile!$C$9="Yes",Profile!$G$6="Yes",Profile!$G$7="Yes",Profile!$G$10="Yes"))),AND(F15="VAT",Profile!$G$8="Yes"),AND(F15="EWT",Profile!$G$9="Yes")),"SUGGESTED","OPTIONAL"))</x:f>
        <x:v>CORE</x:v>
      </x:c>
      <x:c r="H15" s="15" t="str">
        <x:v>Goods / service sales</x:v>
      </x:c>
      <x:c r="I15" s="15" t="str">
        <x:v>Tax attributes determine form treatment</x:v>
      </x:c>
    </x:row>
    <x:row r="16" ht="46" customHeight="1">
      <x:c r="A16" s="12" t="str">
        <x:v>subscription_revenue</x:v>
      </x:c>
      <x:c r="B16" s="12" t="str">
        <x:v>Subscription Revenue</x:v>
      </x:c>
      <x:c r="C16" s="12" t="str">
        <x:v>revenue</x:v>
      </x:c>
      <x:c r="D16" s="12" t="str">
        <x:v>42000</x:v>
      </x:c>
      <x:c r="E16" s="12" t="str">
        <x:v>Existing base</x:v>
      </x:c>
      <x:c r="F16" s="12" t="str">
        <x:v>Always</x:v>
      </x:c>
      <x:c r="G16" s="12" t="str">
        <x:f>IF(F16="Always","CORE",IF(OR(AND(F16="INDIVIDUAL",Profile!$C$6="Individual"),AND(F16="PT",Profile!$C$7="Yes"),AND(F16="PAYROLL",Profile!$C$8="Yes"),AND(F16="IT",OR(Profile!$C$9="Yes",Profile!$G$6="Yes",Profile!$G$7="Yes",Profile!$G$10="Yes")),AND(F16="IT_OR_PAYROLL",OR(Profile!$C$8="Yes",OR(Profile!$C$9="Yes",Profile!$G$6="Yes",Profile!$G$7="Yes",Profile!$G$10="Yes"))),AND(F16="VAT",Profile!$G$8="Yes"),AND(F16="EWT",Profile!$G$9="Yes")),"SUGGESTED","OPTIONAL"))</x:f>
        <x:v>CORE</x:v>
      </x:c>
      <x:c r="H16" s="12" t="str">
        <x:v>Subscription sales</x:v>
      </x:c>
      <x:c r="I16" s="12" t="str">
        <x:v>Tax attributes determine form treatment</x:v>
      </x:c>
    </x:row>
    <x:row r="17" ht="46" customHeight="1">
      <x:c r="A17" s="15" t="str">
        <x:v>transaction_revenue</x:v>
      </x:c>
      <x:c r="B17" s="15" t="str">
        <x:v>Transaction Revenue</x:v>
      </x:c>
      <x:c r="C17" s="15" t="str">
        <x:v>revenue</x:v>
      </x:c>
      <x:c r="D17" s="15" t="str">
        <x:v>43000</x:v>
      </x:c>
      <x:c r="E17" s="15" t="str">
        <x:v>Existing base</x:v>
      </x:c>
      <x:c r="F17" s="15" t="str">
        <x:v>Always</x:v>
      </x:c>
      <x:c r="G17" s="15" t="str">
        <x:f>IF(F17="Always","CORE",IF(OR(AND(F17="INDIVIDUAL",Profile!$C$6="Individual"),AND(F17="PT",Profile!$C$7="Yes"),AND(F17="PAYROLL",Profile!$C$8="Yes"),AND(F17="IT",OR(Profile!$C$9="Yes",Profile!$G$6="Yes",Profile!$G$7="Yes",Profile!$G$10="Yes")),AND(F17="IT_OR_PAYROLL",OR(Profile!$C$8="Yes",OR(Profile!$C$9="Yes",Profile!$G$6="Yes",Profile!$G$7="Yes",Profile!$G$10="Yes"))),AND(F17="VAT",Profile!$G$8="Yes"),AND(F17="EWT",Profile!$G$9="Yes")),"SUGGESTED","OPTIONAL"))</x:f>
        <x:v>CORE</x:v>
      </x:c>
      <x:c r="H17" s="15" t="str">
        <x:v>Transaction fees and other sales</x:v>
      </x:c>
      <x:c r="I17" s="15" t="str">
        <x:v>Tax attributes determine form treatment</x:v>
      </x:c>
    </x:row>
    <x:row r="18" ht="46" customHeight="1">
      <x:c r="A18" s="12" t="str">
        <x:v>refunds_and_discounts</x:v>
      </x:c>
      <x:c r="B18" s="12" t="str">
        <x:v>Refunds &amp; Discounts</x:v>
      </x:c>
      <x:c r="C18" s="12" t="str">
        <x:v>contra revenue</x:v>
      </x:c>
      <x:c r="D18" s="12" t="str">
        <x:v>49000</x:v>
      </x:c>
      <x:c r="E18" s="12" t="str">
        <x:v>Existing base</x:v>
      </x:c>
      <x:c r="F18" s="12" t="str">
        <x:v>Always</x:v>
      </x:c>
      <x:c r="G18" s="12" t="str">
        <x:f>IF(F18="Always","CORE",IF(OR(AND(F18="INDIVIDUAL",Profile!$C$6="Individual"),AND(F18="PT",Profile!$C$7="Yes"),AND(F18="PAYROLL",Profile!$C$8="Yes"),AND(F18="IT",OR(Profile!$C$9="Yes",Profile!$G$6="Yes",Profile!$G$7="Yes",Profile!$G$10="Yes")),AND(F18="IT_OR_PAYROLL",OR(Profile!$C$8="Yes",OR(Profile!$C$9="Yes",Profile!$G$6="Yes",Profile!$G$7="Yes",Profile!$G$10="Yes"))),AND(F18="VAT",Profile!$G$8="Yes"),AND(F18="EWT",Profile!$G$9="Yes")),"SUGGESTED","OPTIONAL"))</x:f>
        <x:v>CORE</x:v>
      </x:c>
      <x:c r="H18" s="12" t="str">
        <x:v>Sales returns, allowances and discounts</x:v>
      </x:c>
      <x:c r="I18" s="12" t="str">
        <x:v>Link to original sale and apply valid tax treatment</x:v>
      </x:c>
    </x:row>
    <x:row r="19" ht="46" customHeight="1">
      <x:c r="A19" s="15" t="str">
        <x:v>other_non_operating_income</x:v>
      </x:c>
      <x:c r="B19" s="15" t="str">
        <x:v>Other Non-Operating Income</x:v>
      </x:c>
      <x:c r="C19" s="15" t="str">
        <x:v>other income</x:v>
      </x:c>
      <x:c r="D19" s="15" t="str"/>
      <x:c r="E19" s="15" t="str">
        <x:v>Proposed</x:v>
      </x:c>
      <x:c r="F19" s="15" t="str">
        <x:v>IT</x:v>
      </x:c>
      <x:c r="G19" s="15" t="str">
        <x:f>IF(F19="Always","CORE",IF(OR(AND(F19="INDIVIDUAL",Profile!$C$6="Individual"),AND(F19="PT",Profile!$C$7="Yes"),AND(F19="PAYROLL",Profile!$C$8="Yes"),AND(F19="IT",OR(Profile!$C$9="Yes",Profile!$G$6="Yes",Profile!$G$7="Yes",Profile!$G$10="Yes")),AND(F19="IT_OR_PAYROLL",OR(Profile!$C$8="Yes",OR(Profile!$C$9="Yes",Profile!$G$6="Yes",Profile!$G$7="Yes",Profile!$G$10="Yes"))),AND(F19="VAT",Profile!$G$8="Yes"),AND(F19="EWT",Profile!$G$9="Yes")),"SUGGESTED","OPTIONAL"))</x:f>
        <x:v>SUGGESTED</x:v>
      </x:c>
      <x:c r="H19" s="15" t="str">
        <x:v>Separate eligible non-operating income from sales</x:v>
      </x:c>
      <x:c r="I19" s="15" t="str">
        <x:v>Exclude income already subject to final tax when applicable</x:v>
      </x:c>
    </x:row>
    <x:row r="20" ht="46" customHeight="1">
      <x:c r="A20" s="12" t="str">
        <x:v>interest_income</x:v>
      </x:c>
      <x:c r="B20" s="12" t="str">
        <x:v>Interest Income</x:v>
      </x:c>
      <x:c r="C20" s="12" t="str">
        <x:v>other income</x:v>
      </x:c>
      <x:c r="D20" s="12" t="str">
        <x:v>81000</x:v>
      </x:c>
      <x:c r="E20" s="12" t="str">
        <x:v>Existing base</x:v>
      </x:c>
      <x:c r="F20" s="12" t="str">
        <x:v>IT</x:v>
      </x:c>
      <x:c r="G20" s="12" t="str">
        <x:f>IF(F20="Always","CORE",IF(OR(AND(F20="INDIVIDUAL",Profile!$C$6="Individual"),AND(F20="PT",Profile!$C$7="Yes"),AND(F20="PAYROLL",Profile!$C$8="Yes"),AND(F20="IT",OR(Profile!$C$9="Yes",Profile!$G$6="Yes",Profile!$G$7="Yes",Profile!$G$10="Yes")),AND(F20="IT_OR_PAYROLL",OR(Profile!$C$8="Yes",OR(Profile!$C$9="Yes",Profile!$G$6="Yes",Profile!$G$7="Yes",Profile!$G$10="Yes"))),AND(F20="VAT",Profile!$G$8="Yes"),AND(F20="EWT",Profile!$G$9="Yes")),"SUGGESTED","OPTIONAL"))</x:f>
        <x:v>SUGGESTED</x:v>
      </x:c>
      <x:c r="H20" s="12" t="str">
        <x:v>Interest income</x:v>
      </x:c>
      <x:c r="I20" s="12" t="str">
        <x:v>Tax attribute must distinguish final-taxed vs income included in return</x:v>
      </x:c>
    </x:row>
    <x:row r="21" ht="46" customHeight="1">
      <x:c r="A21" s="15" t="str">
        <x:v>cost_of_goods_sold</x:v>
      </x:c>
      <x:c r="B21" s="15" t="str">
        <x:v>Cost of Goods Sold</x:v>
      </x:c>
      <x:c r="C21" s="15" t="str">
        <x:v>cost</x:v>
      </x:c>
      <x:c r="D21" s="15" t="str">
        <x:v>51000</x:v>
      </x:c>
      <x:c r="E21" s="15" t="str">
        <x:v>Existing base</x:v>
      </x:c>
      <x:c r="F21" s="15" t="str">
        <x:v>Always</x:v>
      </x:c>
      <x:c r="G21" s="15" t="str">
        <x:f>IF(F21="Always","CORE",IF(OR(AND(F21="INDIVIDUAL",Profile!$C$6="Individual"),AND(F21="PT",Profile!$C$7="Yes"),AND(F21="PAYROLL",Profile!$C$8="Yes"),AND(F21="IT",OR(Profile!$C$9="Yes",Profile!$G$6="Yes",Profile!$G$7="Yes",Profile!$G$10="Yes")),AND(F21="IT_OR_PAYROLL",OR(Profile!$C$8="Yes",OR(Profile!$C$9="Yes",Profile!$G$6="Yes",Profile!$G$7="Yes",Profile!$G$10="Yes"))),AND(F21="VAT",Profile!$G$8="Yes"),AND(F21="EWT",Profile!$G$9="Yes")),"SUGGESTED","OPTIONAL"))</x:f>
        <x:v>CORE</x:v>
      </x:c>
      <x:c r="H21" s="15" t="str">
        <x:v>Cost of inventory sold</x:v>
      </x:c>
      <x:c r="I21" s="15" t="str">
        <x:v>1701-MS IV.8 only when itemized and eligible</x:v>
      </x:c>
    </x:row>
    <x:row r="22" ht="46" customHeight="1">
      <x:c r="A22" s="12" t="str">
        <x:v>direct_service_cost</x:v>
      </x:c>
      <x:c r="B22" s="12" t="str">
        <x:v>Direct Cost of Services</x:v>
      </x:c>
      <x:c r="C22" s="12" t="str">
        <x:v>cost</x:v>
      </x:c>
      <x:c r="D22" s="12" t="str"/>
      <x:c r="E22" s="12" t="str">
        <x:v>Proposed</x:v>
      </x:c>
      <x:c r="F22" s="12" t="str">
        <x:v>IT</x:v>
      </x:c>
      <x:c r="G22" s="12" t="str">
        <x:f>IF(F22="Always","CORE",IF(OR(AND(F22="INDIVIDUAL",Profile!$C$6="Individual"),AND(F22="PT",Profile!$C$7="Yes"),AND(F22="PAYROLL",Profile!$C$8="Yes"),AND(F22="IT",OR(Profile!$C$9="Yes",Profile!$G$6="Yes",Profile!$G$7="Yes",Profile!$G$10="Yes")),AND(F22="IT_OR_PAYROLL",OR(Profile!$C$8="Yes",OR(Profile!$C$9="Yes",Profile!$G$6="Yes",Profile!$G$7="Yes",Profile!$G$10="Yes"))),AND(F22="VAT",Profile!$G$8="Yes"),AND(F22="EWT",Profile!$G$9="Yes")),"SUGGESTED","OPTIONAL"))</x:f>
        <x:v>SUGGESTED</x:v>
      </x:c>
      <x:c r="H22" s="12" t="str">
        <x:v>Direct cost of services</x:v>
      </x:c>
      <x:c r="I22" s="12" t="str">
        <x:v>Potential IV.8 itemized cost; no frozen number assigned</x:v>
      </x:c>
    </x:row>
    <x:row r="23" ht="46" customHeight="1">
      <x:c r="A23" s="15" t="str">
        <x:v>salaries</x:v>
      </x:c>
      <x:c r="B23" s="15" t="str">
        <x:v>Salaries</x:v>
      </x:c>
      <x:c r="C23" s="15" t="str">
        <x:v>expense</x:v>
      </x:c>
      <x:c r="D23" s="15" t="str">
        <x:v>61100</x:v>
      </x:c>
      <x:c r="E23" s="15" t="str">
        <x:v>Existing base</x:v>
      </x:c>
      <x:c r="F23" s="15" t="str">
        <x:v>IT_OR_PAYROLL</x:v>
      </x:c>
      <x:c r="G23" s="15" t="str">
        <x:f>IF(F23="Always","CORE",IF(OR(AND(F23="INDIVIDUAL",Profile!$C$6="Individual"),AND(F23="PT",Profile!$C$7="Yes"),AND(F23="PAYROLL",Profile!$C$8="Yes"),AND(F23="IT",OR(Profile!$C$9="Yes",Profile!$G$6="Yes",Profile!$G$7="Yes",Profile!$G$10="Yes")),AND(F23="IT_OR_PAYROLL",OR(Profile!$C$8="Yes",OR(Profile!$C$9="Yes",Profile!$G$6="Yes",Profile!$G$7="Yes",Profile!$G$10="Yes"))),AND(F23="VAT",Profile!$G$8="Yes"),AND(F23="EWT",Profile!$G$9="Yes")),"SUGGESTED","OPTIONAL"))</x:f>
        <x:v>SUGGESTED</x:v>
      </x:c>
      <x:c r="H23" s="15" t="str">
        <x:v>Employee gross compensation expense</x:v>
      </x:c>
      <x:c r="I23" s="15" t="str">
        <x:v>1601-C reads employee detail; reconcile ledger</x:v>
      </x:c>
    </x:row>
    <x:row r="24" ht="46" customHeight="1">
      <x:c r="A24" s="12" t="str">
        <x:v>employee_benefits</x:v>
      </x:c>
      <x:c r="B24" s="12" t="str">
        <x:v>Employee Benefits</x:v>
      </x:c>
      <x:c r="C24" s="12" t="str">
        <x:v>expense</x:v>
      </x:c>
      <x:c r="D24" s="12" t="str">
        <x:v>61400</x:v>
      </x:c>
      <x:c r="E24" s="12" t="str">
        <x:v>Existing base</x:v>
      </x:c>
      <x:c r="F24" s="12" t="str">
        <x:v>IT_OR_PAYROLL</x:v>
      </x:c>
      <x:c r="G24" s="12" t="str">
        <x:f>IF(F24="Always","CORE",IF(OR(AND(F24="INDIVIDUAL",Profile!$C$6="Individual"),AND(F24="PT",Profile!$C$7="Yes"),AND(F24="PAYROLL",Profile!$C$8="Yes"),AND(F24="IT",OR(Profile!$C$9="Yes",Profile!$G$6="Yes",Profile!$G$7="Yes",Profile!$G$10="Yes")),AND(F24="IT_OR_PAYROLL",OR(Profile!$C$8="Yes",OR(Profile!$C$9="Yes",Profile!$G$6="Yes",Profile!$G$7="Yes",Profile!$G$10="Yes"))),AND(F24="VAT",Profile!$G$8="Yes"),AND(F24="EWT",Profile!$G$9="Yes")),"SUGGESTED","OPTIONAL"))</x:f>
        <x:v>SUGGESTED</x:v>
      </x:c>
      <x:c r="H24" s="12" t="str">
        <x:v>Employer-paid employee benefits</x:v>
      </x:c>
      <x:c r="I24" s="12" t="str">
        <x:v>A benefit may be taxable, exempt or partially exempt</x:v>
      </x:c>
    </x:row>
    <x:row r="25" ht="46" customHeight="1">
      <x:c r="A25" s="15" t="str">
        <x:v>retirement_contributions</x:v>
      </x:c>
      <x:c r="B25" s="15" t="str">
        <x:v>Retirement Contributions</x:v>
      </x:c>
      <x:c r="C25" s="15" t="str">
        <x:v>expense</x:v>
      </x:c>
      <x:c r="D25" s="15" t="str">
        <x:v>61500</x:v>
      </x:c>
      <x:c r="E25" s="15" t="str">
        <x:v>Existing base</x:v>
      </x:c>
      <x:c r="F25" s="15" t="str">
        <x:v>IT_OR_PAYROLL</x:v>
      </x:c>
      <x:c r="G25" s="15" t="str">
        <x:f>IF(F25="Always","CORE",IF(OR(AND(F25="INDIVIDUAL",Profile!$C$6="Individual"),AND(F25="PT",Profile!$C$7="Yes"),AND(F25="PAYROLL",Profile!$C$8="Yes"),AND(F25="IT",OR(Profile!$C$9="Yes",Profile!$G$6="Yes",Profile!$G$7="Yes",Profile!$G$10="Yes")),AND(F25="IT_OR_PAYROLL",OR(Profile!$C$8="Yes",OR(Profile!$C$9="Yes",Profile!$G$6="Yes",Profile!$G$7="Yes",Profile!$G$10="Yes"))),AND(F25="VAT",Profile!$G$8="Yes"),AND(F25="EWT",Profile!$G$9="Yes")),"SUGGESTED","OPTIONAL"))</x:f>
        <x:v>SUGGESTED</x:v>
      </x:c>
      <x:c r="H25" s="15" t="str">
        <x:v>Employer contributions</x:v>
      </x:c>
      <x:c r="I25" s="15" t="str">
        <x:v>Do not treat employee-share deductions as employer expense</x:v>
      </x:c>
    </x:row>
    <x:row r="26" ht="46" customHeight="1">
      <x:c r="A26" s="12" t="str">
        <x:v>employer_payroll_taxes</x:v>
      </x:c>
      <x:c r="B26" s="12" t="str">
        <x:v>Employer Payroll Taxes</x:v>
      </x:c>
      <x:c r="C26" s="12" t="str">
        <x:v>expense</x:v>
      </x:c>
      <x:c r="D26" s="12" t="str">
        <x:v>61600</x:v>
      </x:c>
      <x:c r="E26" s="12" t="str">
        <x:v>Existing base</x:v>
      </x:c>
      <x:c r="F26" s="12" t="str">
        <x:v>IT_OR_PAYROLL</x:v>
      </x:c>
      <x:c r="G26" s="12" t="str">
        <x:f>IF(F26="Always","CORE",IF(OR(AND(F26="INDIVIDUAL",Profile!$C$6="Individual"),AND(F26="PT",Profile!$C$7="Yes"),AND(F26="PAYROLL",Profile!$C$8="Yes"),AND(F26="IT",OR(Profile!$C$9="Yes",Profile!$G$6="Yes",Profile!$G$7="Yes",Profile!$G$10="Yes")),AND(F26="IT_OR_PAYROLL",OR(Profile!$C$8="Yes",OR(Profile!$C$9="Yes",Profile!$G$6="Yes",Profile!$G$7="Yes",Profile!$G$10="Yes"))),AND(F26="VAT",Profile!$G$8="Yes"),AND(F26="EWT",Profile!$G$9="Yes")),"SUGGESTED","OPTIONAL"))</x:f>
        <x:v>SUGGESTED</x:v>
      </x:c>
      <x:c r="H26" s="12" t="str">
        <x:v>Employer portion when categorized here</x:v>
      </x:c>
      <x:c r="I26" s="12" t="str">
        <x:v>Use distinct employee and employer shares</x:v>
      </x:c>
    </x:row>
    <x:row r="27" ht="46" customHeight="1">
      <x:c r="A27" s="15" t="str">
        <x:v>payroll_processing_fees</x:v>
      </x:c>
      <x:c r="B27" s="15" t="str">
        <x:v>Payroll Processing Fees</x:v>
      </x:c>
      <x:c r="C27" s="15" t="str">
        <x:v>expense</x:v>
      </x:c>
      <x:c r="D27" s="15" t="str">
        <x:v>61700</x:v>
      </x:c>
      <x:c r="E27" s="15" t="str">
        <x:v>Existing base</x:v>
      </x:c>
      <x:c r="F27" s="15" t="str">
        <x:v>IT_OR_PAYROLL</x:v>
      </x:c>
      <x:c r="G27" s="15" t="str">
        <x:f>IF(F27="Always","CORE",IF(OR(AND(F27="INDIVIDUAL",Profile!$C$6="Individual"),AND(F27="PT",Profile!$C$7="Yes"),AND(F27="PAYROLL",Profile!$C$8="Yes"),AND(F27="IT",OR(Profile!$C$9="Yes",Profile!$G$6="Yes",Profile!$G$7="Yes",Profile!$G$10="Yes")),AND(F27="IT_OR_PAYROLL",OR(Profile!$C$8="Yes",OR(Profile!$C$9="Yes",Profile!$G$6="Yes",Profile!$G$7="Yes",Profile!$G$10="Yes"))),AND(F27="VAT",Profile!$G$8="Yes"),AND(F27="EWT",Profile!$G$9="Yes")),"SUGGESTED","OPTIONAL"))</x:f>
        <x:v>SUGGESTED</x:v>
      </x:c>
      <x:c r="H27" s="15" t="str">
        <x:v>Payroll-service fees</x:v>
      </x:c>
      <x:c r="I27" s="15" t="str">
        <x:v>Potential itemized deduction with support</x:v>
      </x:c>
    </x:row>
    <x:row r="28" ht="46" customHeight="1">
      <x:c r="A28" s="12" t="str">
        <x:v>payment_processing_fees</x:v>
      </x:c>
      <x:c r="B28" s="12" t="str">
        <x:v>Payment Processing Fees</x:v>
      </x:c>
      <x:c r="C28" s="12" t="str">
        <x:v>cost</x:v>
      </x:c>
      <x:c r="D28" s="12" t="str">
        <x:v>53000</x:v>
      </x:c>
      <x:c r="E28" s="12" t="str">
        <x:v>Existing base</x:v>
      </x:c>
      <x:c r="F28" s="12" t="str">
        <x:v>IT</x:v>
      </x:c>
      <x:c r="G28" s="12" t="str">
        <x:f>IF(F28="Always","CORE",IF(OR(AND(F28="INDIVIDUAL",Profile!$C$6="Individual"),AND(F28="PT",Profile!$C$7="Yes"),AND(F28="PAYROLL",Profile!$C$8="Yes"),AND(F28="IT",OR(Profile!$C$9="Yes",Profile!$G$6="Yes",Profile!$G$7="Yes",Profile!$G$10="Yes")),AND(F28="IT_OR_PAYROLL",OR(Profile!$C$8="Yes",OR(Profile!$C$9="Yes",Profile!$G$6="Yes",Profile!$G$7="Yes",Profile!$G$10="Yes"))),AND(F28="VAT",Profile!$G$8="Yes"),AND(F28="EWT",Profile!$G$9="Yes")),"SUGGESTED","OPTIONAL"))</x:f>
        <x:v>SUGGESTED</x:v>
      </x:c>
      <x:c r="H28" s="12" t="str">
        <x:v>Payment processor fees</x:v>
      </x:c>
      <x:c r="I28" s="12" t="str">
        <x:v>Income-tax placement requires accounting/tax review</x:v>
      </x:c>
    </x:row>
    <x:row r="29" ht="46" customHeight="1">
      <x:c r="A29" s="15" t="str">
        <x:v>hosting_fees</x:v>
      </x:c>
      <x:c r="B29" s="15" t="str">
        <x:v>Hosting Fees</x:v>
      </x:c>
      <x:c r="C29" s="15" t="str">
        <x:v>cost</x:v>
      </x:c>
      <x:c r="D29" s="15" t="str">
        <x:v>54000</x:v>
      </x:c>
      <x:c r="E29" s="15" t="str">
        <x:v>Existing base</x:v>
      </x:c>
      <x:c r="F29" s="15" t="str">
        <x:v>IT</x:v>
      </x:c>
      <x:c r="G29" s="15" t="str">
        <x:f>IF(F29="Always","CORE",IF(OR(AND(F29="INDIVIDUAL",Profile!$C$6="Individual"),AND(F29="PT",Profile!$C$7="Yes"),AND(F29="PAYROLL",Profile!$C$8="Yes"),AND(F29="IT",OR(Profile!$C$9="Yes",Profile!$G$6="Yes",Profile!$G$7="Yes",Profile!$G$10="Yes")),AND(F29="IT_OR_PAYROLL",OR(Profile!$C$8="Yes",OR(Profile!$C$9="Yes",Profile!$G$6="Yes",Profile!$G$7="Yes",Profile!$G$10="Yes"))),AND(F29="VAT",Profile!$G$8="Yes"),AND(F29="EWT",Profile!$G$9="Yes")),"SUGGESTED","OPTIONAL"))</x:f>
        <x:v>SUGGESTED</x:v>
      </x:c>
      <x:c r="H29" s="15" t="str">
        <x:v>Hosting directly categorized as cost</x:v>
      </x:c>
      <x:c r="I29" s="15" t="str">
        <x:v>Income-tax placement requires review</x:v>
      </x:c>
    </x:row>
    <x:row r="30" ht="46" customHeight="1">
      <x:c r="A30" s="12" t="str">
        <x:v>consultants_and_contractors</x:v>
      </x:c>
      <x:c r="B30" s="12" t="str">
        <x:v>Consultants and Contractors</x:v>
      </x:c>
      <x:c r="C30" s="12" t="str">
        <x:v>expense</x:v>
      </x:c>
      <x:c r="D30" s="12" t="str">
        <x:v>63100</x:v>
      </x:c>
      <x:c r="E30" s="12" t="str">
        <x:v>Existing base</x:v>
      </x:c>
      <x:c r="F30" s="12" t="str">
        <x:v>IT</x:v>
      </x:c>
      <x:c r="G30" s="12" t="str">
        <x:f>IF(F30="Always","CORE",IF(OR(AND(F30="INDIVIDUAL",Profile!$C$6="Individual"),AND(F30="PT",Profile!$C$7="Yes"),AND(F30="PAYROLL",Profile!$C$8="Yes"),AND(F30="IT",OR(Profile!$C$9="Yes",Profile!$G$6="Yes",Profile!$G$7="Yes",Profile!$G$10="Yes")),AND(F30="IT_OR_PAYROLL",OR(Profile!$C$8="Yes",OR(Profile!$C$9="Yes",Profile!$G$6="Yes",Profile!$G$7="Yes",Profile!$G$10="Yes"))),AND(F30="VAT",Profile!$G$8="Yes"),AND(F30="EWT",Profile!$G$9="Yes")),"SUGGESTED","OPTIONAL"))</x:f>
        <x:v>SUGGESTED</x:v>
      </x:c>
      <x:c r="H30" s="12" t="str">
        <x:v>Independent contractor fees</x:v>
      </x:c>
      <x:c r="I30" s="12" t="str">
        <x:v>Potential supplier EWT is separate</x:v>
      </x:c>
    </x:row>
    <x:row r="31" ht="46" customHeight="1">
      <x:c r="A31" s="15" t="str">
        <x:v>legal</x:v>
      </x:c>
      <x:c r="B31" s="15" t="str">
        <x:v>Legal</x:v>
      </x:c>
      <x:c r="C31" s="15" t="str">
        <x:v>expense</x:v>
      </x:c>
      <x:c r="D31" s="15" t="str">
        <x:v>63200</x:v>
      </x:c>
      <x:c r="E31" s="15" t="str">
        <x:v>Existing base</x:v>
      </x:c>
      <x:c r="F31" s="15" t="str">
        <x:v>IT</x:v>
      </x:c>
      <x:c r="G31" s="15" t="str">
        <x:f>IF(F31="Always","CORE",IF(OR(AND(F31="INDIVIDUAL",Profile!$C$6="Individual"),AND(F31="PT",Profile!$C$7="Yes"),AND(F31="PAYROLL",Profile!$C$8="Yes"),AND(F31="IT",OR(Profile!$C$9="Yes",Profile!$G$6="Yes",Profile!$G$7="Yes",Profile!$G$10="Yes")),AND(F31="IT_OR_PAYROLL",OR(Profile!$C$8="Yes",OR(Profile!$C$9="Yes",Profile!$G$6="Yes",Profile!$G$7="Yes",Profile!$G$10="Yes"))),AND(F31="VAT",Profile!$G$8="Yes"),AND(F31="EWT",Profile!$G$9="Yes")),"SUGGESTED","OPTIONAL"))</x:f>
        <x:v>SUGGESTED</x:v>
      </x:c>
      <x:c r="H31" s="15" t="str">
        <x:v>Legal services</x:v>
      </x:c>
      <x:c r="I31" s="15" t="str">
        <x:v>Potential supplier EWT is separate</x:v>
      </x:c>
    </x:row>
    <x:row r="32" ht="46" customHeight="1">
      <x:c r="A32" s="12" t="str">
        <x:v>tax_and_accounting</x:v>
      </x:c>
      <x:c r="B32" s="12" t="str">
        <x:v>Tax &amp; Accounting</x:v>
      </x:c>
      <x:c r="C32" s="12" t="str">
        <x:v>expense</x:v>
      </x:c>
      <x:c r="D32" s="12" t="str">
        <x:v>63300</x:v>
      </x:c>
      <x:c r="E32" s="12" t="str">
        <x:v>Existing base</x:v>
      </x:c>
      <x:c r="F32" s="12" t="str">
        <x:v>IT</x:v>
      </x:c>
      <x:c r="G32" s="12" t="str">
        <x:f>IF(F32="Always","CORE",IF(OR(AND(F32="INDIVIDUAL",Profile!$C$6="Individual"),AND(F32="PT",Profile!$C$7="Yes"),AND(F32="PAYROLL",Profile!$C$8="Yes"),AND(F32="IT",OR(Profile!$C$9="Yes",Profile!$G$6="Yes",Profile!$G$7="Yes",Profile!$G$10="Yes")),AND(F32="IT_OR_PAYROLL",OR(Profile!$C$8="Yes",OR(Profile!$C$9="Yes",Profile!$G$6="Yes",Profile!$G$7="Yes",Profile!$G$10="Yes"))),AND(F32="VAT",Profile!$G$8="Yes"),AND(F32="EWT",Profile!$G$9="Yes")),"SUGGESTED","OPTIONAL"))</x:f>
        <x:v>SUGGESTED</x:v>
      </x:c>
      <x:c r="H32" s="12" t="str">
        <x:v>Accountancy and tax preparation</x:v>
      </x:c>
      <x:c r="I32" s="12" t="str">
        <x:v>Potential supplier EWT is separate</x:v>
      </x:c>
    </x:row>
    <x:row r="33" ht="46" customHeight="1">
      <x:c r="A33" s="15" t="str">
        <x:v>advertising</x:v>
      </x:c>
      <x:c r="B33" s="15" t="str">
        <x:v>Advertising</x:v>
      </x:c>
      <x:c r="C33" s="15" t="str">
        <x:v>expense</x:v>
      </x:c>
      <x:c r="D33" s="15" t="str">
        <x:v>64100</x:v>
      </x:c>
      <x:c r="E33" s="15" t="str">
        <x:v>Existing base</x:v>
      </x:c>
      <x:c r="F33" s="15" t="str">
        <x:v>IT</x:v>
      </x:c>
      <x:c r="G33" s="15" t="str">
        <x:f>IF(F33="Always","CORE",IF(OR(AND(F33="INDIVIDUAL",Profile!$C$6="Individual"),AND(F33="PT",Profile!$C$7="Yes"),AND(F33="PAYROLL",Profile!$C$8="Yes"),AND(F33="IT",OR(Profile!$C$9="Yes",Profile!$G$6="Yes",Profile!$G$7="Yes",Profile!$G$10="Yes")),AND(F33="IT_OR_PAYROLL",OR(Profile!$C$8="Yes",OR(Profile!$C$9="Yes",Profile!$G$6="Yes",Profile!$G$7="Yes",Profile!$G$10="Yes"))),AND(F33="VAT",Profile!$G$8="Yes"),AND(F33="EWT",Profile!$G$9="Yes")),"SUGGESTED","OPTIONAL"))</x:f>
        <x:v>SUGGESTED</x:v>
      </x:c>
      <x:c r="H33" s="15" t="str">
        <x:v>Marketing spend</x:v>
      </x:c>
      <x:c r="I33" s="15" t="str">
        <x:v>Business purpose and invoice required</x:v>
      </x:c>
    </x:row>
    <x:row r="34" ht="46" customHeight="1">
      <x:c r="A34" s="12" t="str">
        <x:v>business_applications_and_software</x:v>
      </x:c>
      <x:c r="B34" s="12" t="str">
        <x:v>Business Applications &amp; Software</x:v>
      </x:c>
      <x:c r="C34" s="12" t="str">
        <x:v>expense</x:v>
      </x:c>
      <x:c r="D34" s="12" t="str">
        <x:v>65000</x:v>
      </x:c>
      <x:c r="E34" s="12" t="str">
        <x:v>Existing base</x:v>
      </x:c>
      <x:c r="F34" s="12" t="str">
        <x:v>IT</x:v>
      </x:c>
      <x:c r="G34" s="12" t="str">
        <x:f>IF(F34="Always","CORE",IF(OR(AND(F34="INDIVIDUAL",Profile!$C$6="Individual"),AND(F34="PT",Profile!$C$7="Yes"),AND(F34="PAYROLL",Profile!$C$8="Yes"),AND(F34="IT",OR(Profile!$C$9="Yes",Profile!$G$6="Yes",Profile!$G$7="Yes",Profile!$G$10="Yes")),AND(F34="IT_OR_PAYROLL",OR(Profile!$C$8="Yes",OR(Profile!$C$9="Yes",Profile!$G$6="Yes",Profile!$G$7="Yes",Profile!$G$10="Yes"))),AND(F34="VAT",Profile!$G$8="Yes"),AND(F34="EWT",Profile!$G$9="Yes")),"SUGGESTED","OPTIONAL"))</x:f>
        <x:v>SUGGESTED</x:v>
      </x:c>
      <x:c r="H34" s="12" t="str">
        <x:v>Software subscriptions</x:v>
      </x:c>
      <x:c r="I34" s="12" t="str">
        <x:v>Check service, tax, cross-border and capitalization facts</x:v>
      </x:c>
    </x:row>
    <x:row r="35" ht="46" customHeight="1">
      <x:c r="A35" s="15" t="str">
        <x:v>rent</x:v>
      </x:c>
      <x:c r="B35" s="15" t="str">
        <x:v>Rent</x:v>
      </x:c>
      <x:c r="C35" s="15" t="str">
        <x:v>expense</x:v>
      </x:c>
      <x:c r="D35" s="15" t="str">
        <x:v>66100</x:v>
      </x:c>
      <x:c r="E35" s="15" t="str">
        <x:v>Existing base</x:v>
      </x:c>
      <x:c r="F35" s="15" t="str">
        <x:v>IT</x:v>
      </x:c>
      <x:c r="G35" s="15" t="str">
        <x:f>IF(F35="Always","CORE",IF(OR(AND(F35="INDIVIDUAL",Profile!$C$6="Individual"),AND(F35="PT",Profile!$C$7="Yes"),AND(F35="PAYROLL",Profile!$C$8="Yes"),AND(F35="IT",OR(Profile!$C$9="Yes",Profile!$G$6="Yes",Profile!$G$7="Yes",Profile!$G$10="Yes")),AND(F35="IT_OR_PAYROLL",OR(Profile!$C$8="Yes",OR(Profile!$C$9="Yes",Profile!$G$6="Yes",Profile!$G$7="Yes",Profile!$G$10="Yes"))),AND(F35="VAT",Profile!$G$8="Yes"),AND(F35="EWT",Profile!$G$9="Yes")),"SUGGESTED","OPTIONAL"))</x:f>
        <x:v>SUGGESTED</x:v>
      </x:c>
      <x:c r="H35" s="15" t="str">
        <x:v>Rent</x:v>
      </x:c>
      <x:c r="I35" s="15" t="str">
        <x:v>Potential supplier EWT is separate</x:v>
      </x:c>
    </x:row>
    <x:row r="36" ht="46" customHeight="1">
      <x:c r="A36" s="12" t="str">
        <x:v>utilities</x:v>
      </x:c>
      <x:c r="B36" s="12" t="str">
        <x:v>Utilities</x:v>
      </x:c>
      <x:c r="C36" s="12" t="str">
        <x:v>expense</x:v>
      </x:c>
      <x:c r="D36" s="12" t="str">
        <x:v>66200</x:v>
      </x:c>
      <x:c r="E36" s="12" t="str">
        <x:v>Existing base</x:v>
      </x:c>
      <x:c r="F36" s="12" t="str">
        <x:v>IT</x:v>
      </x:c>
      <x:c r="G36" s="12" t="str">
        <x:f>IF(F36="Always","CORE",IF(OR(AND(F36="INDIVIDUAL",Profile!$C$6="Individual"),AND(F36="PT",Profile!$C$7="Yes"),AND(F36="PAYROLL",Profile!$C$8="Yes"),AND(F36="IT",OR(Profile!$C$9="Yes",Profile!$G$6="Yes",Profile!$G$7="Yes",Profile!$G$10="Yes")),AND(F36="IT_OR_PAYROLL",OR(Profile!$C$8="Yes",OR(Profile!$C$9="Yes",Profile!$G$6="Yes",Profile!$G$7="Yes",Profile!$G$10="Yes"))),AND(F36="VAT",Profile!$G$8="Yes"),AND(F36="EWT",Profile!$G$9="Yes")),"SUGGESTED","OPTIONAL"))</x:f>
        <x:v>SUGGESTED</x:v>
      </x:c>
      <x:c r="H36" s="12" t="str">
        <x:v>Utilities</x:v>
      </x:c>
      <x:c r="I36" s="12" t="str">
        <x:v>Check allowable business share</x:v>
      </x:c>
    </x:row>
    <x:row r="37" ht="46" customHeight="1">
      <x:c r="A37" s="15" t="str">
        <x:v>repairs_and_maintenance</x:v>
      </x:c>
      <x:c r="B37" s="15" t="str">
        <x:v>Repairs and Maintenance</x:v>
      </x:c>
      <x:c r="C37" s="15" t="str">
        <x:v>expense</x:v>
      </x:c>
      <x:c r="D37" s="15" t="str">
        <x:v>66300</x:v>
      </x:c>
      <x:c r="E37" s="15" t="str">
        <x:v>Existing base</x:v>
      </x:c>
      <x:c r="F37" s="15" t="str">
        <x:v>IT</x:v>
      </x:c>
      <x:c r="G37" s="15" t="str">
        <x:f>IF(F37="Always","CORE",IF(OR(AND(F37="INDIVIDUAL",Profile!$C$6="Individual"),AND(F37="PT",Profile!$C$7="Yes"),AND(F37="PAYROLL",Profile!$C$8="Yes"),AND(F37="IT",OR(Profile!$C$9="Yes",Profile!$G$6="Yes",Profile!$G$7="Yes",Profile!$G$10="Yes")),AND(F37="IT_OR_PAYROLL",OR(Profile!$C$8="Yes",OR(Profile!$C$9="Yes",Profile!$G$6="Yes",Profile!$G$7="Yes",Profile!$G$10="Yes"))),AND(F37="VAT",Profile!$G$8="Yes"),AND(F37="EWT",Profile!$G$9="Yes")),"SUGGESTED","OPTIONAL"))</x:f>
        <x:v>SUGGESTED</x:v>
      </x:c>
      <x:c r="H37" s="15" t="str">
        <x:v>Repairs</x:v>
      </x:c>
      <x:c r="I37" s="15" t="str">
        <x:v>Capital improvements may be assets</x:v>
      </x:c>
    </x:row>
    <x:row r="38" ht="46" customHeight="1">
      <x:c r="A38" s="12" t="str">
        <x:v>office_supplies</x:v>
      </x:c>
      <x:c r="B38" s="12" t="str">
        <x:v>Office Supplies</x:v>
      </x:c>
      <x:c r="C38" s="12" t="str">
        <x:v>expense</x:v>
      </x:c>
      <x:c r="D38" s="12" t="str">
        <x:v>67200</x:v>
      </x:c>
      <x:c r="E38" s="12" t="str">
        <x:v>Existing base</x:v>
      </x:c>
      <x:c r="F38" s="12" t="str">
        <x:v>IT</x:v>
      </x:c>
      <x:c r="G38" s="12" t="str">
        <x:f>IF(F38="Always","CORE",IF(OR(AND(F38="INDIVIDUAL",Profile!$C$6="Individual"),AND(F38="PT",Profile!$C$7="Yes"),AND(F38="PAYROLL",Profile!$C$8="Yes"),AND(F38="IT",OR(Profile!$C$9="Yes",Profile!$G$6="Yes",Profile!$G$7="Yes",Profile!$G$10="Yes")),AND(F38="IT_OR_PAYROLL",OR(Profile!$C$8="Yes",OR(Profile!$C$9="Yes",Profile!$G$6="Yes",Profile!$G$7="Yes",Profile!$G$10="Yes"))),AND(F38="VAT",Profile!$G$8="Yes"),AND(F38="EWT",Profile!$G$9="Yes")),"SUGGESTED","OPTIONAL"))</x:f>
        <x:v>SUGGESTED</x:v>
      </x:c>
      <x:c r="H38" s="12" t="str">
        <x:v>Consumable supplies</x:v>
      </x:c>
      <x:c r="I38" s="12" t="str">
        <x:v>Potential itemized deduction</x:v>
      </x:c>
    </x:row>
    <x:row r="39" ht="46" customHeight="1">
      <x:c r="A39" s="15" t="str">
        <x:v>airfare</x:v>
      </x:c>
      <x:c r="B39" s="15" t="str">
        <x:v>Airfare</x:v>
      </x:c>
      <x:c r="C39" s="15" t="str">
        <x:v>expense</x:v>
      </x:c>
      <x:c r="D39" s="15" t="str">
        <x:v>62100</x:v>
      </x:c>
      <x:c r="E39" s="15" t="str">
        <x:v>Existing base</x:v>
      </x:c>
      <x:c r="F39" s="15" t="str">
        <x:v>IT</x:v>
      </x:c>
      <x:c r="G39" s="15" t="str">
        <x:f>IF(F39="Always","CORE",IF(OR(AND(F39="INDIVIDUAL",Profile!$C$6="Individual"),AND(F39="PT",Profile!$C$7="Yes"),AND(F39="PAYROLL",Profile!$C$8="Yes"),AND(F39="IT",OR(Profile!$C$9="Yes",Profile!$G$6="Yes",Profile!$G$7="Yes",Profile!$G$10="Yes")),AND(F39="IT_OR_PAYROLL",OR(Profile!$C$8="Yes",OR(Profile!$C$9="Yes",Profile!$G$6="Yes",Profile!$G$7="Yes",Profile!$G$10="Yes"))),AND(F39="VAT",Profile!$G$8="Yes"),AND(F39="EWT",Profile!$G$9="Yes")),"SUGGESTED","OPTIONAL"))</x:f>
        <x:v>SUGGESTED</x:v>
      </x:c>
      <x:c r="H39" s="15" t="str">
        <x:v>Business travel</x:v>
      </x:c>
      <x:c r="I39" s="15" t="str">
        <x:v>Requires business purpose and supporting documents</x:v>
      </x:c>
    </x:row>
    <x:row r="40" ht="46" customHeight="1">
      <x:c r="A40" s="12" t="str">
        <x:v>meals</x:v>
      </x:c>
      <x:c r="B40" s="12" t="str">
        <x:v>Meals</x:v>
      </x:c>
      <x:c r="C40" s="12" t="str">
        <x:v>expense</x:v>
      </x:c>
      <x:c r="D40" s="12" t="str">
        <x:v>62400</x:v>
      </x:c>
      <x:c r="E40" s="12" t="str">
        <x:v>Existing base</x:v>
      </x:c>
      <x:c r="F40" s="12" t="str">
        <x:v>IT</x:v>
      </x:c>
      <x:c r="G40" s="12" t="str">
        <x:f>IF(F40="Always","CORE",IF(OR(AND(F40="INDIVIDUAL",Profile!$C$6="Individual"),AND(F40="PT",Profile!$C$7="Yes"),AND(F40="PAYROLL",Profile!$C$8="Yes"),AND(F40="IT",OR(Profile!$C$9="Yes",Profile!$G$6="Yes",Profile!$G$7="Yes",Profile!$G$10="Yes")),AND(F40="IT_OR_PAYROLL",OR(Profile!$C$8="Yes",OR(Profile!$C$9="Yes",Profile!$G$6="Yes",Profile!$G$7="Yes",Profile!$G$10="Yes"))),AND(F40="VAT",Profile!$G$8="Yes"),AND(F40="EWT",Profile!$G$9="Yes")),"SUGGESTED","OPTIONAL"))</x:f>
        <x:v>SUGGESTED</x:v>
      </x:c>
      <x:c r="H40" s="12" t="str">
        <x:v>Meals</x:v>
      </x:c>
      <x:c r="I40" s="12" t="str">
        <x:v>Deductibility can be limited</x:v>
      </x:c>
    </x:row>
    <x:row r="41" ht="46" customHeight="1">
      <x:c r="A41" s="15" t="str">
        <x:v>bank_fees</x:v>
      </x:c>
      <x:c r="B41" s="15" t="str">
        <x:v>Bank Fees</x:v>
      </x:c>
      <x:c r="C41" s="15" t="str">
        <x:v>expense</x:v>
      </x:c>
      <x:c r="D41" s="15" t="str">
        <x:v>68300</x:v>
      </x:c>
      <x:c r="E41" s="15" t="str">
        <x:v>Existing base</x:v>
      </x:c>
      <x:c r="F41" s="15" t="str">
        <x:v>IT</x:v>
      </x:c>
      <x:c r="G41" s="15" t="str">
        <x:f>IF(F41="Always","CORE",IF(OR(AND(F41="INDIVIDUAL",Profile!$C$6="Individual"),AND(F41="PT",Profile!$C$7="Yes"),AND(F41="PAYROLL",Profile!$C$8="Yes"),AND(F41="IT",OR(Profile!$C$9="Yes",Profile!$G$6="Yes",Profile!$G$7="Yes",Profile!$G$10="Yes")),AND(F41="IT_OR_PAYROLL",OR(Profile!$C$8="Yes",OR(Profile!$C$9="Yes",Profile!$G$6="Yes",Profile!$G$7="Yes",Profile!$G$10="Yes"))),AND(F41="VAT",Profile!$G$8="Yes"),AND(F41="EWT",Profile!$G$9="Yes")),"SUGGESTED","OPTIONAL"))</x:f>
        <x:v>SUGGESTED</x:v>
      </x:c>
      <x:c r="H41" s="15" t="str">
        <x:v>Bank fees</x:v>
      </x:c>
      <x:c r="I41" s="15" t="str">
        <x:v>Separate from bank transfers</x:v>
      </x:c>
    </x:row>
    <x:row r="42" ht="46" customHeight="1">
      <x:c r="A42" s="12" t="str">
        <x:v>interest_expense</x:v>
      </x:c>
      <x:c r="B42" s="12" t="str">
        <x:v>Interest Expense</x:v>
      </x:c>
      <x:c r="C42" s="12" t="str">
        <x:v>other expense</x:v>
      </x:c>
      <x:c r="D42" s="12" t="str">
        <x:v>91000</x:v>
      </x:c>
      <x:c r="E42" s="12" t="str">
        <x:v>Existing base</x:v>
      </x:c>
      <x:c r="F42" s="12" t="str">
        <x:v>IT</x:v>
      </x:c>
      <x:c r="G42" s="12" t="str">
        <x:f>IF(F42="Always","CORE",IF(OR(AND(F42="INDIVIDUAL",Profile!$C$6="Individual"),AND(F42="PT",Profile!$C$7="Yes"),AND(F42="PAYROLL",Profile!$C$8="Yes"),AND(F42="IT",OR(Profile!$C$9="Yes",Profile!$G$6="Yes",Profile!$G$7="Yes",Profile!$G$10="Yes")),AND(F42="IT_OR_PAYROLL",OR(Profile!$C$8="Yes",OR(Profile!$C$9="Yes",Profile!$G$6="Yes",Profile!$G$7="Yes",Profile!$G$10="Yes"))),AND(F42="VAT",Profile!$G$8="Yes"),AND(F42="EWT",Profile!$G$9="Yes")),"SUGGESTED","OPTIONAL"))</x:f>
        <x:v>SUGGESTED</x:v>
      </x:c>
      <x:c r="H42" s="12" t="str">
        <x:v>Business borrowing cost</x:v>
      </x:c>
      <x:c r="I42" s="12" t="str">
        <x:v>Apply restrictions; principal is not an expense</x:v>
      </x:c>
    </x:row>
    <x:row r="43" ht="46" customHeight="1">
      <x:c r="A43" s="15" t="str">
        <x:v>depreciation_expense</x:v>
      </x:c>
      <x:c r="B43" s="15" t="str">
        <x:v>Depreciation Expense</x:v>
      </x:c>
      <x:c r="C43" s="15" t="str">
        <x:v>expense</x:v>
      </x:c>
      <x:c r="D43" s="15" t="str"/>
      <x:c r="E43" s="15" t="str">
        <x:v>Proposed</x:v>
      </x:c>
      <x:c r="F43" s="15" t="str">
        <x:v>IT</x:v>
      </x:c>
      <x:c r="G43" s="15" t="str">
        <x:f>IF(F43="Always","CORE",IF(OR(AND(F43="INDIVIDUAL",Profile!$C$6="Individual"),AND(F43="PT",Profile!$C$7="Yes"),AND(F43="PAYROLL",Profile!$C$8="Yes"),AND(F43="IT",OR(Profile!$C$9="Yes",Profile!$G$6="Yes",Profile!$G$7="Yes",Profile!$G$10="Yes")),AND(F43="IT_OR_PAYROLL",OR(Profile!$C$8="Yes",OR(Profile!$C$9="Yes",Profile!$G$6="Yes",Profile!$G$7="Yes",Profile!$G$10="Yes"))),AND(F43="VAT",Profile!$G$8="Yes"),AND(F43="EWT",Profile!$G$9="Yes")),"SUGGESTED","OPTIONAL"))</x:f>
        <x:v>SUGGESTED</x:v>
      </x:c>
      <x:c r="H43" s="15" t="str">
        <x:v>Periodic fixed-asset cost</x:v>
      </x:c>
      <x:c r="I43" s="15" t="str">
        <x:v>Use fixed asset schedule and tax adjustment</x:v>
      </x:c>
    </x:row>
    <x:row r="44" ht="46" customHeight="1">
      <x:c r="A44" s="12" t="str">
        <x:v>ph_cwt_receivable</x:v>
      </x:c>
      <x:c r="B44" s="12" t="str">
        <x:v>Creditable Withholding Tax Receivable</x:v>
      </x:c>
      <x:c r="C44" s="12" t="str">
        <x:v>asset</x:v>
      </x:c>
      <x:c r="D44" s="12" t="str">
        <x:v>12600</x:v>
      </x:c>
      <x:c r="E44" s="12" t="str">
        <x:v>Existing PH control</x:v>
      </x:c>
      <x:c r="F44" s="12" t="str">
        <x:v>IT</x:v>
      </x:c>
      <x:c r="G44" s="12" t="str">
        <x:f>IF(F44="Always","CORE",IF(OR(AND(F44="INDIVIDUAL",Profile!$C$6="Individual"),AND(F44="PT",Profile!$C$7="Yes"),AND(F44="PAYROLL",Profile!$C$8="Yes"),AND(F44="IT",OR(Profile!$C$9="Yes",Profile!$G$6="Yes",Profile!$G$7="Yes",Profile!$G$10="Yes")),AND(F44="IT_OR_PAYROLL",OR(Profile!$C$8="Yes",OR(Profile!$C$9="Yes",Profile!$G$6="Yes",Profile!$G$7="Yes",Profile!$G$10="Yes"))),AND(F44="VAT",Profile!$G$8="Yes"),AND(F44="EWT",Profile!$G$9="Yes")),"SUGGESTED","OPTIONAL"))</x:f>
        <x:v>SUGGESTED</x:v>
      </x:c>
      <x:c r="H44" s="12" t="str">
        <x:v>Income-tax withholding received</x:v>
      </x:c>
      <x:c r="I44" s="12" t="str">
        <x:v>Use income-tax 2307 amount by quarter</x:v>
      </x:c>
    </x:row>
    <x:row r="45" ht="46" customHeight="1">
      <x:c r="A45" s="15" t="str">
        <x:v>pct_tax_credit_receivable</x:v>
      </x:c>
      <x:c r="B45" s="15" t="str">
        <x:v>Percentage Tax Withheld Receivable</x:v>
      </x:c>
      <x:c r="C45" s="15" t="str">
        <x:v>asset</x:v>
      </x:c>
      <x:c r="D45" s="15" t="str"/>
      <x:c r="E45" s="15" t="str">
        <x:v>Proposed</x:v>
      </x:c>
      <x:c r="F45" s="15" t="str">
        <x:v>PT</x:v>
      </x:c>
      <x:c r="G45" s="15" t="str">
        <x:f>IF(F45="Always","CORE",IF(OR(AND(F45="INDIVIDUAL",Profile!$C$6="Individual"),AND(F45="PT",Profile!$C$7="Yes"),AND(F45="PAYROLL",Profile!$C$8="Yes"),AND(F45="IT",OR(Profile!$C$9="Yes",Profile!$G$6="Yes",Profile!$G$7="Yes",Profile!$G$10="Yes")),AND(F45="IT_OR_PAYROLL",OR(Profile!$C$8="Yes",OR(Profile!$C$9="Yes",Profile!$G$6="Yes",Profile!$G$7="Yes",Profile!$G$10="Yes"))),AND(F45="VAT",Profile!$G$8="Yes"),AND(F45="EWT",Profile!$G$9="Yes")),"SUGGESTED","OPTIONAL"))</x:f>
        <x:v>SUGGESTED</x:v>
      </x:c>
      <x:c r="H45" s="15" t="str">
        <x:v>Percentage tax withheld from the seller</x:v>
      </x:c>
      <x:c r="I45" s="15" t="str">
        <x:v>Optional separate control; distinguish from income-tax CWT</x:v>
      </x:c>
    </x:row>
    <x:row r="46" ht="46" customHeight="1">
      <x:c r="A46" s="12" t="str">
        <x:v>ph_percentage_tax_payable</x:v>
      </x:c>
      <x:c r="B46" s="12" t="str">
        <x:v>Percentage Tax Payable</x:v>
      </x:c>
      <x:c r="C46" s="12" t="str">
        <x:v>liability</x:v>
      </x:c>
      <x:c r="D46" s="12" t="str">
        <x:v>21800</x:v>
      </x:c>
      <x:c r="E46" s="12" t="str">
        <x:v>Existing PH control</x:v>
      </x:c>
      <x:c r="F46" s="12" t="str">
        <x:v>PT</x:v>
      </x:c>
      <x:c r="G46" s="12" t="str">
        <x:f>IF(F46="Always","CORE",IF(OR(AND(F46="INDIVIDUAL",Profile!$C$6="Individual"),AND(F46="PT",Profile!$C$7="Yes"),AND(F46="PAYROLL",Profile!$C$8="Yes"),AND(F46="IT",OR(Profile!$C$9="Yes",Profile!$G$6="Yes",Profile!$G$7="Yes",Profile!$G$10="Yes")),AND(F46="IT_OR_PAYROLL",OR(Profile!$C$8="Yes",OR(Profile!$C$9="Yes",Profile!$G$6="Yes",Profile!$G$7="Yes",Profile!$G$10="Yes"))),AND(F46="VAT",Profile!$G$8="Yes"),AND(F46="EWT",Profile!$G$9="Yes")),"SUGGESTED","OPTIONAL"))</x:f>
        <x:v>SUGGESTED</x:v>
      </x:c>
      <x:c r="H46" s="12" t="str">
        <x:v>Accrued percentage tax</x:v>
      </x:c>
      <x:c r="I46" s="12" t="str">
        <x:v>Reconcile to 2551Q; not the taxable-sales base</x:v>
      </x:c>
    </x:row>
    <x:row r="47" ht="46" customHeight="1">
      <x:c r="A47" s="15" t="str">
        <x:v>ph_percentage_tax_expense</x:v>
      </x:c>
      <x:c r="B47" s="15" t="str">
        <x:v>Percentage Tax Expense</x:v>
      </x:c>
      <x:c r="C47" s="15" t="str">
        <x:v>other expense</x:v>
      </x:c>
      <x:c r="D47" s="15" t="str">
        <x:v>94100</x:v>
      </x:c>
      <x:c r="E47" s="15" t="str">
        <x:v>Existing PH control</x:v>
      </x:c>
      <x:c r="F47" s="15" t="str">
        <x:v>PT</x:v>
      </x:c>
      <x:c r="G47" s="15" t="str">
        <x:f>IF(F47="Always","CORE",IF(OR(AND(F47="INDIVIDUAL",Profile!$C$6="Individual"),AND(F47="PT",Profile!$C$7="Yes"),AND(F47="PAYROLL",Profile!$C$8="Yes"),AND(F47="IT",OR(Profile!$C$9="Yes",Profile!$G$6="Yes",Profile!$G$7="Yes",Profile!$G$10="Yes")),AND(F47="IT_OR_PAYROLL",OR(Profile!$C$8="Yes",OR(Profile!$C$9="Yes",Profile!$G$6="Yes",Profile!$G$7="Yes",Profile!$G$10="Yes"))),AND(F47="VAT",Profile!$G$8="Yes"),AND(F47="EWT",Profile!$G$9="Yes")),"SUGGESTED","OPTIONAL"))</x:f>
        <x:v>SUGGESTED</x:v>
      </x:c>
      <x:c r="H47" s="15" t="str">
        <x:v>Percentage tax cost</x:v>
      </x:c>
      <x:c r="I47" s="15" t="str">
        <x:v>Potential itemized tax deduction; check conditions</x:v>
      </x:c>
    </x:row>
    <x:row r="48" ht="46" customHeight="1">
      <x:c r="A48" s="12" t="str">
        <x:v>income_tax_paid</x:v>
      </x:c>
      <x:c r="B48" s="12" t="str">
        <x:v>Income Tax Payments / Credits</x:v>
      </x:c>
      <x:c r="C48" s="12" t="str">
        <x:v>asset</x:v>
      </x:c>
      <x:c r="D48" s="12" t="str"/>
      <x:c r="E48" s="12" t="str">
        <x:v>Proposed</x:v>
      </x:c>
      <x:c r="F48" s="12" t="str">
        <x:v>IT</x:v>
      </x:c>
      <x:c r="G48" s="12" t="str">
        <x:f>IF(F48="Always","CORE",IF(OR(AND(F48="INDIVIDUAL",Profile!$C$6="Individual"),AND(F48="PT",Profile!$C$7="Yes"),AND(F48="PAYROLL",Profile!$C$8="Yes"),AND(F48="IT",OR(Profile!$C$9="Yes",Profile!$G$6="Yes",Profile!$G$7="Yes",Profile!$G$10="Yes")),AND(F48="IT_OR_PAYROLL",OR(Profile!$C$8="Yes",OR(Profile!$C$9="Yes",Profile!$G$6="Yes",Profile!$G$7="Yes",Profile!$G$10="Yes"))),AND(F48="VAT",Profile!$G$8="Yes"),AND(F48="EWT",Profile!$G$9="Yes")),"SUGGESTED","OPTIONAL"))</x:f>
        <x:v>SUGGESTED</x:v>
      </x:c>
      <x:c r="H48" s="12" t="str">
        <x:v>Prior income-tax payments</x:v>
      </x:c>
      <x:c r="I48" s="12" t="str">
        <x:v>Retain return, period, amount and proof</x:v>
      </x:c>
    </x:row>
    <x:row r="49" ht="46" customHeight="1">
      <x:c r="A49" s="15" t="str">
        <x:v>income_tax_payable</x:v>
      </x:c>
      <x:c r="B49" s="15" t="str">
        <x:v>Income Tax Payable</x:v>
      </x:c>
      <x:c r="C49" s="15" t="str">
        <x:v>liability</x:v>
      </x:c>
      <x:c r="D49" s="15" t="str"/>
      <x:c r="E49" s="15" t="str">
        <x:v>Proposed</x:v>
      </x:c>
      <x:c r="F49" s="15" t="str">
        <x:v>IT</x:v>
      </x:c>
      <x:c r="G49" s="15" t="str">
        <x:f>IF(F49="Always","CORE",IF(OR(AND(F49="INDIVIDUAL",Profile!$C$6="Individual"),AND(F49="PT",Profile!$C$7="Yes"),AND(F49="PAYROLL",Profile!$C$8="Yes"),AND(F49="IT",OR(Profile!$C$9="Yes",Profile!$G$6="Yes",Profile!$G$7="Yes",Profile!$G$10="Yes")),AND(F49="IT_OR_PAYROLL",OR(Profile!$C$8="Yes",OR(Profile!$C$9="Yes",Profile!$G$6="Yes",Profile!$G$7="Yes",Profile!$G$10="Yes"))),AND(F49="VAT",Profile!$G$8="Yes"),AND(F49="EWT",Profile!$G$9="Yes")),"SUGGESTED","OPTIONAL"))</x:f>
        <x:v>SUGGESTED</x:v>
      </x:c>
      <x:c r="H49" s="15" t="str">
        <x:v>Accrued income tax</x:v>
      </x:c>
      <x:c r="I49" s="15" t="str">
        <x:v>Separate from payroll and supplier withholding</x:v>
      </x:c>
    </x:row>
    <x:row r="50" ht="46" customHeight="1">
      <x:c r="A50" s="12" t="str">
        <x:v>ph_wtc_payable</x:v>
      </x:c>
      <x:c r="B50" s="12" t="str">
        <x:v>Withholding Tax on Compensation Payable</x:v>
      </x:c>
      <x:c r="C50" s="12" t="str">
        <x:v>liability</x:v>
      </x:c>
      <x:c r="D50" s="12" t="str">
        <x:v>25110</x:v>
      </x:c>
      <x:c r="E50" s="12" t="str">
        <x:v>Existing PH control</x:v>
      </x:c>
      <x:c r="F50" s="12" t="str">
        <x:v>PAYROLL</x:v>
      </x:c>
      <x:c r="G50" s="12" t="str">
        <x:f>IF(F50="Always","CORE",IF(OR(AND(F50="INDIVIDUAL",Profile!$C$6="Individual"),AND(F50="PT",Profile!$C$7="Yes"),AND(F50="PAYROLL",Profile!$C$8="Yes"),AND(F50="IT",OR(Profile!$C$9="Yes",Profile!$G$6="Yes",Profile!$G$7="Yes",Profile!$G$10="Yes")),AND(F50="IT_OR_PAYROLL",OR(Profile!$C$8="Yes",OR(Profile!$C$9="Yes",Profile!$G$6="Yes",Profile!$G$7="Yes",Profile!$G$10="Yes"))),AND(F50="VAT",Profile!$G$8="Yes"),AND(F50="EWT",Profile!$G$9="Yes")),"SUGGESTED","OPTIONAL"))</x:f>
        <x:v>SUGGESTED</x:v>
      </x:c>
      <x:c r="H50" s="12" t="str">
        <x:v>Employee income tax withheld</x:v>
      </x:c>
      <x:c r="I50" s="12" t="str">
        <x:v>Reconcile with 1601-C and payroll detail</x:v>
      </x:c>
    </x:row>
    <x:row r="51" ht="46" customHeight="1">
      <x:c r="A51" s="15" t="str">
        <x:v>ph_sss_payable</x:v>
      </x:c>
      <x:c r="B51" s="15" t="str">
        <x:v>SSS Contributions Payable</x:v>
      </x:c>
      <x:c r="C51" s="15" t="str">
        <x:v>liability</x:v>
      </x:c>
      <x:c r="D51" s="15" t="str">
        <x:v>25120</x:v>
      </x:c>
      <x:c r="E51" s="15" t="str">
        <x:v>Existing PH control</x:v>
      </x:c>
      <x:c r="F51" s="15" t="str">
        <x:v>PAYROLL</x:v>
      </x:c>
      <x:c r="G51" s="15" t="str">
        <x:f>IF(F51="Always","CORE",IF(OR(AND(F51="INDIVIDUAL",Profile!$C$6="Individual"),AND(F51="PT",Profile!$C$7="Yes"),AND(F51="PAYROLL",Profile!$C$8="Yes"),AND(F51="IT",OR(Profile!$C$9="Yes",Profile!$G$6="Yes",Profile!$G$7="Yes",Profile!$G$10="Yes")),AND(F51="IT_OR_PAYROLL",OR(Profile!$C$8="Yes",OR(Profile!$C$9="Yes",Profile!$G$6="Yes",Profile!$G$7="Yes",Profile!$G$10="Yes"))),AND(F51="VAT",Profile!$G$8="Yes"),AND(F51="EWT",Profile!$G$9="Yes")),"SUGGESTED","OPTIONAL"))</x:f>
        <x:v>SUGGESTED</x:v>
      </x:c>
      <x:c r="H51" s="15" t="str">
        <x:v>Employee plus employer contribution liability</x:v>
      </x:c>
      <x:c r="I51" s="15" t="str">
        <x:v>1601-C item 19 uses employee share only</x:v>
      </x:c>
    </x:row>
    <x:row r="52" ht="46" customHeight="1">
      <x:c r="A52" s="12" t="str">
        <x:v>ph_philhealth_payable</x:v>
      </x:c>
      <x:c r="B52" s="12" t="str">
        <x:v>PhilHealth Contributions Payable</x:v>
      </x:c>
      <x:c r="C52" s="12" t="str">
        <x:v>liability</x:v>
      </x:c>
      <x:c r="D52" s="12" t="str">
        <x:v>25130</x:v>
      </x:c>
      <x:c r="E52" s="12" t="str">
        <x:v>Existing PH control</x:v>
      </x:c>
      <x:c r="F52" s="12" t="str">
        <x:v>PAYROLL</x:v>
      </x:c>
      <x:c r="G52" s="12" t="str">
        <x:f>IF(F52="Always","CORE",IF(OR(AND(F52="INDIVIDUAL",Profile!$C$6="Individual"),AND(F52="PT",Profile!$C$7="Yes"),AND(F52="PAYROLL",Profile!$C$8="Yes"),AND(F52="IT",OR(Profile!$C$9="Yes",Profile!$G$6="Yes",Profile!$G$7="Yes",Profile!$G$10="Yes")),AND(F52="IT_OR_PAYROLL",OR(Profile!$C$8="Yes",OR(Profile!$C$9="Yes",Profile!$G$6="Yes",Profile!$G$7="Yes",Profile!$G$10="Yes"))),AND(F52="VAT",Profile!$G$8="Yes"),AND(F52="EWT",Profile!$G$9="Yes")),"SUGGESTED","OPTIONAL"))</x:f>
        <x:v>SUGGESTED</x:v>
      </x:c>
      <x:c r="H52" s="12" t="str">
        <x:v>Employee plus employer contribution liability</x:v>
      </x:c>
      <x:c r="I52" s="12" t="str">
        <x:v>1601-C item 19 uses employee share only</x:v>
      </x:c>
    </x:row>
    <x:row r="53" ht="46" customHeight="1">
      <x:c r="A53" s="15" t="str">
        <x:v>ph_pagibig_payable</x:v>
      </x:c>
      <x:c r="B53" s="15" t="str">
        <x:v>Pag-IBIG Contributions Payable</x:v>
      </x:c>
      <x:c r="C53" s="15" t="str">
        <x:v>liability</x:v>
      </x:c>
      <x:c r="D53" s="15" t="str">
        <x:v>25140</x:v>
      </x:c>
      <x:c r="E53" s="15" t="str">
        <x:v>Existing PH control</x:v>
      </x:c>
      <x:c r="F53" s="15" t="str">
        <x:v>PAYROLL</x:v>
      </x:c>
      <x:c r="G53" s="15" t="str">
        <x:f>IF(F53="Always","CORE",IF(OR(AND(F53="INDIVIDUAL",Profile!$C$6="Individual"),AND(F53="PT",Profile!$C$7="Yes"),AND(F53="PAYROLL",Profile!$C$8="Yes"),AND(F53="IT",OR(Profile!$C$9="Yes",Profile!$G$6="Yes",Profile!$G$7="Yes",Profile!$G$10="Yes")),AND(F53="IT_OR_PAYROLL",OR(Profile!$C$8="Yes",OR(Profile!$C$9="Yes",Profile!$G$6="Yes",Profile!$G$7="Yes",Profile!$G$10="Yes"))),AND(F53="VAT",Profile!$G$8="Yes"),AND(F53="EWT",Profile!$G$9="Yes")),"SUGGESTED","OPTIONAL"))</x:f>
        <x:v>SUGGESTED</x:v>
      </x:c>
      <x:c r="H53" s="15" t="str">
        <x:v>Employee plus employer contribution liability</x:v>
      </x:c>
      <x:c r="I53" s="15" t="str">
        <x:v>1601-C item 19 uses employee share only</x:v>
      </x:c>
    </x:row>
    <x:row r="54" ht="46" customHeight="1">
      <x:c r="A54" s="12" t="str">
        <x:v>ph_union_dues_payable</x:v>
      </x:c>
      <x:c r="B54" s="12" t="str">
        <x:v>Union Dues Payable</x:v>
      </x:c>
      <x:c r="C54" s="12" t="str">
        <x:v>liability</x:v>
      </x:c>
      <x:c r="D54" s="12" t="str">
        <x:v>25150</x:v>
      </x:c>
      <x:c r="E54" s="12" t="str">
        <x:v>Existing PH control</x:v>
      </x:c>
      <x:c r="F54" s="12" t="str">
        <x:v>PAYROLL</x:v>
      </x:c>
      <x:c r="G54" s="12" t="str">
        <x:f>IF(F54="Always","CORE",IF(OR(AND(F54="INDIVIDUAL",Profile!$C$6="Individual"),AND(F54="PT",Profile!$C$7="Yes"),AND(F54="PAYROLL",Profile!$C$8="Yes"),AND(F54="IT",OR(Profile!$C$9="Yes",Profile!$G$6="Yes",Profile!$G$7="Yes",Profile!$G$10="Yes")),AND(F54="IT_OR_PAYROLL",OR(Profile!$C$8="Yes",OR(Profile!$C$9="Yes",Profile!$G$6="Yes",Profile!$G$7="Yes",Profile!$G$10="Yes"))),AND(F54="VAT",Profile!$G$8="Yes"),AND(F54="EWT",Profile!$G$9="Yes")),"SUGGESTED","OPTIONAL"))</x:f>
        <x:v>SUGGESTED</x:v>
      </x:c>
      <x:c r="H54" s="12" t="str">
        <x:v>Employee union dues withheld</x:v>
      </x:c>
      <x:c r="I54" s="12" t="str">
        <x:v>Track employee deductions separately</x:v>
      </x:c>
    </x:row>
    <x:row r="55" ht="46" customHeight="1">
      <x:c r="A55" s="15" t="str">
        <x:v>ph_net_pay_payable</x:v>
      </x:c>
      <x:c r="B55" s="15" t="str">
        <x:v>Net Pay Payable</x:v>
      </x:c>
      <x:c r="C55" s="15" t="str">
        <x:v>liability</x:v>
      </x:c>
      <x:c r="D55" s="15" t="str">
        <x:v>25170</x:v>
      </x:c>
      <x:c r="E55" s="15" t="str">
        <x:v>Existing PH control</x:v>
      </x:c>
      <x:c r="F55" s="15" t="str">
        <x:v>PAYROLL</x:v>
      </x:c>
      <x:c r="G55" s="15" t="str">
        <x:f>IF(F55="Always","CORE",IF(OR(AND(F55="INDIVIDUAL",Profile!$C$6="Individual"),AND(F55="PT",Profile!$C$7="Yes"),AND(F55="PAYROLL",Profile!$C$8="Yes"),AND(F55="IT",OR(Profile!$C$9="Yes",Profile!$G$6="Yes",Profile!$G$7="Yes",Profile!$G$10="Yes")),AND(F55="IT_OR_PAYROLL",OR(Profile!$C$8="Yes",OR(Profile!$C$9="Yes",Profile!$G$6="Yes",Profile!$G$7="Yes",Profile!$G$10="Yes"))),AND(F55="VAT",Profile!$G$8="Yes"),AND(F55="EWT",Profile!$G$9="Yes")),"SUGGESTED","OPTIONAL"))</x:f>
        <x:v>SUGGESTED</x:v>
      </x:c>
      <x:c r="H55" s="15" t="str">
        <x:v>Net amount payable to employees</x:v>
      </x:c>
      <x:c r="I55" s="15" t="str">
        <x:v>Not gross compensation</x:v>
      </x:c>
    </x:row>
    <x:row r="56" ht="46" customHeight="1">
      <x:c r="A56" s="12" t="str">
        <x:v>ph_employee_tax_refund_payable</x:v>
      </x:c>
      <x:c r="B56" s="12" t="str">
        <x:v>Employee Tax Refund Payable</x:v>
      </x:c>
      <x:c r="C56" s="12" t="str">
        <x:v>liability</x:v>
      </x:c>
      <x:c r="D56" s="12" t="str">
        <x:v>25175</x:v>
      </x:c>
      <x:c r="E56" s="12" t="str">
        <x:v>Existing PH control</x:v>
      </x:c>
      <x:c r="F56" s="12" t="str">
        <x:v>PAYROLL</x:v>
      </x:c>
      <x:c r="G56" s="12" t="str">
        <x:f>IF(F56="Always","CORE",IF(OR(AND(F56="INDIVIDUAL",Profile!$C$6="Individual"),AND(F56="PT",Profile!$C$7="Yes"),AND(F56="PAYROLL",Profile!$C$8="Yes"),AND(F56="IT",OR(Profile!$C$9="Yes",Profile!$G$6="Yes",Profile!$G$7="Yes",Profile!$G$10="Yes")),AND(F56="IT_OR_PAYROLL",OR(Profile!$C$8="Yes",OR(Profile!$C$9="Yes",Profile!$G$6="Yes",Profile!$G$7="Yes",Profile!$G$10="Yes"))),AND(F56="VAT",Profile!$G$8="Yes"),AND(F56="EWT",Profile!$G$9="Yes")),"SUGGESTED","OPTIONAL"))</x:f>
        <x:v>SUGGESTED</x:v>
      </x:c>
      <x:c r="H56" s="12" t="str">
        <x:v>Refund owed to employee</x:v>
      </x:c>
      <x:c r="I56" s="12" t="str">
        <x:v>Handle annualization separately</x:v>
      </x:c>
    </x:row>
    <x:row r="57" ht="46" customHeight="1">
      <x:c r="A57" s="15" t="str">
        <x:v>ph_ewt_payable</x:v>
      </x:c>
      <x:c r="B57" s="15" t="str">
        <x:v>Expanded Withholding Tax Payable</x:v>
      </x:c>
      <x:c r="C57" s="15" t="str">
        <x:v>liability</x:v>
      </x:c>
      <x:c r="D57" s="15" t="str">
        <x:v>21600</x:v>
      </x:c>
      <x:c r="E57" s="15" t="str">
        <x:v>Existing PH control</x:v>
      </x:c>
      <x:c r="F57" s="15" t="str">
        <x:v>EWT</x:v>
      </x:c>
      <x:c r="G57" s="15" t="str">
        <x:f>IF(F57="Always","CORE",IF(OR(AND(F57="INDIVIDUAL",Profile!$C$6="Individual"),AND(F57="PT",Profile!$C$7="Yes"),AND(F57="PAYROLL",Profile!$C$8="Yes"),AND(F57="IT",OR(Profile!$C$9="Yes",Profile!$G$6="Yes",Profile!$G$7="Yes",Profile!$G$10="Yes")),AND(F57="IT_OR_PAYROLL",OR(Profile!$C$8="Yes",OR(Profile!$C$9="Yes",Profile!$G$6="Yes",Profile!$G$7="Yes",Profile!$G$10="Yes"))),AND(F57="VAT",Profile!$G$8="Yes"),AND(F57="EWT",Profile!$G$9="Yes")),"SUGGESTED","OPTIONAL"))</x:f>
        <x:v>OPTIONAL</x:v>
      </x:c>
      <x:c r="H57" s="15" t="str">
        <x:v>Tax withheld from suppliers</x:v>
      </x:c>
      <x:c r="I57" s="15" t="str">
        <x:v>For 0619-E / 1601-EQ, not 1601-C payroll withholding</x:v>
      </x:c>
    </x:row>
    <x:row r="58" ht="46" customHeight="1">
      <x:c r="A58" s="12" t="str">
        <x:v>ph_input_vat</x:v>
      </x:c>
      <x:c r="B58" s="12" t="str">
        <x:v>Input VAT</x:v>
      </x:c>
      <x:c r="C58" s="12" t="str">
        <x:v>asset</x:v>
      </x:c>
      <x:c r="D58" s="12" t="str">
        <x:v>13800</x:v>
      </x:c>
      <x:c r="E58" s="12" t="str">
        <x:v>Existing PH control</x:v>
      </x:c>
      <x:c r="F58" s="12" t="str">
        <x:v>VAT</x:v>
      </x:c>
      <x:c r="G58" s="12" t="str">
        <x:f>IF(F58="Always","CORE",IF(OR(AND(F58="INDIVIDUAL",Profile!$C$6="Individual"),AND(F58="PT",Profile!$C$7="Yes"),AND(F58="PAYROLL",Profile!$C$8="Yes"),AND(F58="IT",OR(Profile!$C$9="Yes",Profile!$G$6="Yes",Profile!$G$7="Yes",Profile!$G$10="Yes")),AND(F58="IT_OR_PAYROLL",OR(Profile!$C$8="Yes",OR(Profile!$C$9="Yes",Profile!$G$6="Yes",Profile!$G$7="Yes",Profile!$G$10="Yes"))),AND(F58="VAT",Profile!$G$8="Yes"),AND(F58="EWT",Profile!$G$9="Yes")),"SUGGESTED","OPTIONAL"))</x:f>
        <x:v>OPTIONAL</x:v>
      </x:c>
      <x:c r="H58" s="12" t="str">
        <x:v>Potential VAT credit</x:v>
      </x:c>
      <x:c r="I58" s="12" t="str">
        <x:v>For VAT filers / 2550Q; do not create claim from category alone</x:v>
      </x:c>
    </x:row>
    <x:row r="59" ht="46" customHeight="1">
      <x:c r="A59" s="15" t="str">
        <x:v>ph_input_vat_unpaid</x:v>
      </x:c>
      <x:c r="B59" s="15" t="str">
        <x:v>Input VAT - Unpaid Payables</x:v>
      </x:c>
      <x:c r="C59" s="15" t="str">
        <x:v>asset</x:v>
      </x:c>
      <x:c r="D59" s="15" t="str">
        <x:v>13810</x:v>
      </x:c>
      <x:c r="E59" s="15" t="str">
        <x:v>Existing PH control</x:v>
      </x:c>
      <x:c r="F59" s="15" t="str">
        <x:v>VAT</x:v>
      </x:c>
      <x:c r="G59" s="15" t="str">
        <x:f>IF(F59="Always","CORE",IF(OR(AND(F59="INDIVIDUAL",Profile!$C$6="Individual"),AND(F59="PT",Profile!$C$7="Yes"),AND(F59="PAYROLL",Profile!$C$8="Yes"),AND(F59="IT",OR(Profile!$C$9="Yes",Profile!$G$6="Yes",Profile!$G$7="Yes",Profile!$G$10="Yes")),AND(F59="IT_OR_PAYROLL",OR(Profile!$C$8="Yes",OR(Profile!$C$9="Yes",Profile!$G$6="Yes",Profile!$G$7="Yes",Profile!$G$10="Yes"))),AND(F59="VAT",Profile!$G$8="Yes"),AND(F59="EWT",Profile!$G$9="Yes")),"SUGGESTED","OPTIONAL"))</x:f>
        <x:v>OPTIONAL</x:v>
      </x:c>
      <x:c r="H59" s="15" t="str">
        <x:v>Input VAT for unpaid purchase transactions</x:v>
      </x:c>
      <x:c r="I59" s="15" t="str">
        <x:v>Eligibility and timing require current rule review</x:v>
      </x:c>
    </x:row>
    <x:row r="60" ht="46" customHeight="1">
      <x:c r="A60" s="12" t="str">
        <x:v>ph_output_vat</x:v>
      </x:c>
      <x:c r="B60" s="12" t="str">
        <x:v>Output VAT</x:v>
      </x:c>
      <x:c r="C60" s="12" t="str">
        <x:v>liability</x:v>
      </x:c>
      <x:c r="D60" s="12" t="str">
        <x:v>21700</x:v>
      </x:c>
      <x:c r="E60" s="12" t="str">
        <x:v>Existing PH control</x:v>
      </x:c>
      <x:c r="F60" s="12" t="str">
        <x:v>VAT</x:v>
      </x:c>
      <x:c r="G60" s="12" t="str">
        <x:f>IF(F60="Always","CORE",IF(OR(AND(F60="INDIVIDUAL",Profile!$C$6="Individual"),AND(F60="PT",Profile!$C$7="Yes"),AND(F60="PAYROLL",Profile!$C$8="Yes"),AND(F60="IT",OR(Profile!$C$9="Yes",Profile!$G$6="Yes",Profile!$G$7="Yes",Profile!$G$10="Yes")),AND(F60="IT_OR_PAYROLL",OR(Profile!$C$8="Yes",OR(Profile!$C$9="Yes",Profile!$G$6="Yes",Profile!$G$7="Yes",Profile!$G$10="Yes"))),AND(F60="VAT",Profile!$G$8="Yes"),AND(F60="EWT",Profile!$G$9="Yes")),"SUGGESTED","OPTIONAL"))</x:f>
        <x:v>OPTIONAL</x:v>
      </x:c>
      <x:c r="H60" s="12" t="str">
        <x:v>VAT on taxable sales</x:v>
      </x:c>
      <x:c r="I60" s="12" t="str">
        <x:v>Not income or percentage tax</x:v>
      </x:c>
    </x:row>
    <x:row r="61" ht="46" customHeight="1">
      <x:c r="A61" s="15" t="str">
        <x:v>ph_output_vat_uncollected</x:v>
      </x:c>
      <x:c r="B61" s="15" t="str">
        <x:v>Output VAT - Uncollected Receivables</x:v>
      </x:c>
      <x:c r="C61" s="15" t="str">
        <x:v>liability</x:v>
      </x:c>
      <x:c r="D61" s="15" t="str">
        <x:v>21710</x:v>
      </x:c>
      <x:c r="E61" s="15" t="str">
        <x:v>Existing PH control</x:v>
      </x:c>
      <x:c r="F61" s="15" t="str">
        <x:v>VAT</x:v>
      </x:c>
      <x:c r="G61" s="15" t="str">
        <x:f>IF(F61="Always","CORE",IF(OR(AND(F61="INDIVIDUAL",Profile!$C$6="Individual"),AND(F61="PT",Profile!$C$7="Yes"),AND(F61="PAYROLL",Profile!$C$8="Yes"),AND(F61="IT",OR(Profile!$C$9="Yes",Profile!$G$6="Yes",Profile!$G$7="Yes",Profile!$G$10="Yes")),AND(F61="IT_OR_PAYROLL",OR(Profile!$C$8="Yes",OR(Profile!$C$9="Yes",Profile!$G$6="Yes",Profile!$G$7="Yes",Profile!$G$10="Yes"))),AND(F61="VAT",Profile!$G$8="Yes"),AND(F61="EWT",Profile!$G$9="Yes")),"SUGGESTED","OPTIONAL"))</x:f>
        <x:v>OPTIONAL</x:v>
      </x:c>
      <x:c r="H61" s="15" t="str">
        <x:v>VAT on uncollected receivables</x:v>
      </x:c>
      <x:c r="I61" s="15" t="str">
        <x:v>Relief / add-back subject to conditions</x:v>
      </x:c>
    </x:row>
    <x:row r="62" ht="46" customHeight="1">
      <x:c r="A62" s="12" t="str">
        <x:v>ph_vat_payable_net</x:v>
      </x:c>
      <x:c r="B62" s="12" t="str">
        <x:v>VAT Payable - Net</x:v>
      </x:c>
      <x:c r="C62" s="12" t="str">
        <x:v>liability</x:v>
      </x:c>
      <x:c r="D62" s="12" t="str">
        <x:v>21750</x:v>
      </x:c>
      <x:c r="E62" s="12" t="str">
        <x:v>Existing PH control</x:v>
      </x:c>
      <x:c r="F62" s="12" t="str">
        <x:v>VAT</x:v>
      </x:c>
      <x:c r="G62" s="12" t="str">
        <x:f>IF(F62="Always","CORE",IF(OR(AND(F62="INDIVIDUAL",Profile!$C$6="Individual"),AND(F62="PT",Profile!$C$7="Yes"),AND(F62="PAYROLL",Profile!$C$8="Yes"),AND(F62="IT",OR(Profile!$C$9="Yes",Profile!$G$6="Yes",Profile!$G$7="Yes",Profile!$G$10="Yes")),AND(F62="IT_OR_PAYROLL",OR(Profile!$C$8="Yes",OR(Profile!$C$9="Yes",Profile!$G$6="Yes",Profile!$G$7="Yes",Profile!$G$10="Yes"))),AND(F62="VAT",Profile!$G$8="Yes"),AND(F62="EWT",Profile!$G$9="Yes")),"SUGGESTED","OPTIONAL"))</x:f>
        <x:v>OPTIONAL</x:v>
      </x:c>
      <x:c r="H62" s="12" t="str">
        <x:v>Net VAT obligation</x:v>
      </x:c>
      <x:c r="I62" s="12" t="str">
        <x:v>2550Q details and reconciliations still required</x:v>
      </x:c>
    </x:row>
    <x:row r="63" ht="46" customHeight="1">
      <x:c r="A63" s="15" t="str">
        <x:v>ph_creditable_vat_withheld</x:v>
      </x:c>
      <x:c r="B63" s="15" t="str">
        <x:v>Creditable VAT Withheld</x:v>
      </x:c>
      <x:c r="C63" s="15" t="str">
        <x:v>asset</x:v>
      </x:c>
      <x:c r="D63" s="15" t="str">
        <x:v>12610</x:v>
      </x:c>
      <x:c r="E63" s="15" t="str">
        <x:v>Existing PH control</x:v>
      </x:c>
      <x:c r="F63" s="15" t="str">
        <x:v>VAT</x:v>
      </x:c>
      <x:c r="G63" s="15" t="str">
        <x:f>IF(F63="Always","CORE",IF(OR(AND(F63="INDIVIDUAL",Profile!$C$6="Individual"),AND(F63="PT",Profile!$C$7="Yes"),AND(F63="PAYROLL",Profile!$C$8="Yes"),AND(F63="IT",OR(Profile!$C$9="Yes",Profile!$G$6="Yes",Profile!$G$7="Yes",Profile!$G$10="Yes")),AND(F63="IT_OR_PAYROLL",OR(Profile!$C$8="Yes",OR(Profile!$C$9="Yes",Profile!$G$6="Yes",Profile!$G$7="Yes",Profile!$G$10="Yes"))),AND(F63="VAT",Profile!$G$8="Yes"),AND(F63="EWT",Profile!$G$9="Yes")),"SUGGESTED","OPTIONAL"))</x:f>
        <x:v>OPTIONAL</x:v>
      </x:c>
      <x:c r="H63" s="15" t="str">
        <x:v>VAT withheld by eligible payors</x:v>
      </x:c>
      <x:c r="I63" s="15" t="str">
        <x:v>Separate from income and percentage tax credits</x:v>
      </x:c>
    </x:row>
    <x:row r="64" ht="46" customHeight="1">
      <x:c r="A64" s="12" t="str">
        <x:v>ph_input_vat_exempt_expense</x:v>
      </x:c>
      <x:c r="B64" s="12" t="str">
        <x:v>Input VAT Attributable to Exempt Sales</x:v>
      </x:c>
      <x:c r="C64" s="12" t="str">
        <x:v>expense</x:v>
      </x:c>
      <x:c r="D64" s="12" t="str">
        <x:v>68400</x:v>
      </x:c>
      <x:c r="E64" s="12" t="str">
        <x:v>Existing PH control</x:v>
      </x:c>
      <x:c r="F64" s="12" t="str">
        <x:v>VAT</x:v>
      </x:c>
      <x:c r="G64" s="12" t="str">
        <x:f>IF(F64="Always","CORE",IF(OR(AND(F64="INDIVIDUAL",Profile!$C$6="Individual"),AND(F64="PT",Profile!$C$7="Yes"),AND(F64="PAYROLL",Profile!$C$8="Yes"),AND(F64="IT",OR(Profile!$C$9="Yes",Profile!$G$6="Yes",Profile!$G$7="Yes",Profile!$G$10="Yes")),AND(F64="IT_OR_PAYROLL",OR(Profile!$C$8="Yes",OR(Profile!$C$9="Yes",Profile!$G$6="Yes",Profile!$G$7="Yes",Profile!$G$10="Yes"))),AND(F64="VAT",Profile!$G$8="Yes"),AND(F64="EWT",Profile!$G$9="Yes")),"SUGGESTED","OPTIONAL"))</x:f>
        <x:v>OPTIONAL</x:v>
      </x:c>
      <x:c r="H64" s="12" t="str">
        <x:v>Input VAT not creditable because of exempt sales</x:v>
      </x:c>
      <x:c r="I64" s="12" t="str">
        <x:v>Allocation and deductibility require review</x:v>
      </x:c>
    </x:row>
  </x:sheetData>
  <x:pageMargins left="0.7" right="0.7" top="0.75" bottom="0.75" header="0.3" footer="0.3"/>
  <x:tableParts count="1">
    <x:tablePart xmlns:r="http://schemas.openxmlformats.org/officeDocument/2006/relationships" r:id="R0ec88902cfbe42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9" hidden="0" customWidth="1"/>
    <x:col min="4" max="4" width="33" hidden="0" customWidth="1"/>
    <x:col min="5" max="5" width="17" hidden="0" customWidth="1"/>
    <x:col min="6" max="6" width="55" hidden="0" customWidth="1"/>
    <x:col min="7" max="7" width="60" hidden="0" customWidth="1"/>
  </x:cols>
  <x:sheetData>
    <x:row r="1" ht="24" customHeight="1">
      <x:c r="A1" s="1" t="str">
        <x:v>Category to form-field rules</x:v>
      </x:c>
    </x:row>
    <x:row r="2" ht="24" customHeight="1">
      <x:c r="A2" s="2" t="str">
        <x:v>This is the many-to-many mapping layer. “Reconcile” rows are control checks, not instructions to sum the account into the field.</x:v>
      </x:c>
    </x:row>
    <x:row r="3" ht="24" customHeight="1">
      <x:c r="A3" s="3" t="str">
        <x:v>Period, payer, tax type, eligibility and form version are part of every rule. Official sources S1–S4.</x:v>
      </x:c>
    </x:row>
    <x:row r="5" ht="32" customHeight="1">
      <x:c r="A5" s="14" t="str">
        <x:v>Category key</x:v>
      </x:c>
      <x:c r="B5" s="14" t="str">
        <x:v>Form</x:v>
      </x:c>
      <x:c r="C5" s="14" t="str">
        <x:v>Target field</x:v>
      </x:c>
      <x:c r="D5" s="14" t="str">
        <x:v>Mapping method</x:v>
      </x:c>
      <x:c r="E5" s="14" t="str">
        <x:v>Period</x:v>
      </x:c>
      <x:c r="F5" s="14" t="str">
        <x:v>Required filter / dimension</x:v>
      </x:c>
      <x:c r="G5" s="14" t="str">
        <x:v>Review or exclusion</x:v>
      </x:c>
    </x:row>
    <x:row r="6" ht="46" customHeight="1">
      <x:c r="A6" s="12" t="str">
        <x:v>sales_revenue</x:v>
      </x:c>
      <x:c r="B6" s="12" t="str">
        <x:v>2551Q</x:v>
      </x:c>
      <x:c r="C6" s="12" t="str">
        <x:v>S1.1.base</x:v>
      </x:c>
      <x:c r="D6" s="12" t="str">
        <x:v>Aggregate tax-tagged revenue</x:v>
      </x:c>
      <x:c r="E6" s="12" t="str">
        <x:v>Quarter</x:v>
      </x:c>
      <x:c r="F6" s="12" t="str">
        <x:v>PT010 eligible sales, applicable recognition date</x:v>
      </x:c>
      <x:c r="G6" s="12" t="str">
        <x:v>Other ATCs require their own schedule row</x:v>
      </x:c>
    </x:row>
    <x:row r="7" ht="46" customHeight="1">
      <x:c r="A7" s="15" t="str">
        <x:v>sales_revenue</x:v>
      </x:c>
      <x:c r="B7" s="15" t="str">
        <x:v>1701-MS</x:v>
      </x:c>
      <x:c r="C7" s="15" t="str">
        <x:v>IV.5</x:v>
      </x:c>
      <x:c r="D7" s="15" t="str">
        <x:v>Aggregate income-eligible gross sales</x:v>
      </x:c>
      <x:c r="E7" s="15" t="str">
        <x:v>Year</x:v>
      </x:c>
      <x:c r="F7" s="15" t="str">
        <x:v>Filer, non-final income, exclude VAT</x:v>
      </x:c>
      <x:c r="G7" s="15" t="str">
        <x:v>Use leaf accounts; do not also sum parent</x:v>
      </x:c>
    </x:row>
    <x:row r="8" ht="46" customHeight="1">
      <x:c r="A8" s="12" t="str">
        <x:v>sales_revenue</x:v>
      </x:c>
      <x:c r="B8" s="12" t="str">
        <x:v>1701-MS</x:v>
      </x:c>
      <x:c r="C8" s="12" t="str">
        <x:v>IV.19</x:v>
      </x:c>
      <x:c r="D8" s="12" t="str">
        <x:v>Aggregate eligible net sales</x:v>
      </x:c>
      <x:c r="E8" s="12" t="str">
        <x:v>Year</x:v>
      </x:c>
      <x:c r="F8" s="12" t="str">
        <x:v>8% pathway only; subtract eligible returns</x:v>
      </x:c>
      <x:c r="G8" s="12" t="str">
        <x:v>Do not use gross bank deposits</x:v>
      </x:c>
    </x:row>
    <x:row r="9" ht="46" customHeight="1">
      <x:c r="A9" s="15" t="str">
        <x:v>subscription_revenue</x:v>
      </x:c>
      <x:c r="B9" s="15" t="str">
        <x:v>2551Q</x:v>
      </x:c>
      <x:c r="C9" s="15" t="str">
        <x:v>S1.1.base</x:v>
      </x:c>
      <x:c r="D9" s="15" t="str">
        <x:v>Aggregate tax-tagged revenue</x:v>
      </x:c>
      <x:c r="E9" s="15" t="str">
        <x:v>Quarter</x:v>
      </x:c>
      <x:c r="F9" s="15" t="str">
        <x:v>PT010 eligible sales, applicable recognition date</x:v>
      </x:c>
      <x:c r="G9" s="15" t="str">
        <x:v>Other ATCs require their own schedule row</x:v>
      </x:c>
    </x:row>
    <x:row r="10" ht="46" customHeight="1">
      <x:c r="A10" s="12" t="str">
        <x:v>subscription_revenue</x:v>
      </x:c>
      <x:c r="B10" s="12" t="str">
        <x:v>1701-MS</x:v>
      </x:c>
      <x:c r="C10" s="12" t="str">
        <x:v>IV.5</x:v>
      </x:c>
      <x:c r="D10" s="12" t="str">
        <x:v>Aggregate income-eligible gross sales</x:v>
      </x:c>
      <x:c r="E10" s="12" t="str">
        <x:v>Year</x:v>
      </x:c>
      <x:c r="F10" s="12" t="str">
        <x:v>Filer, non-final income, exclude VAT</x:v>
      </x:c>
      <x:c r="G10" s="12" t="str">
        <x:v>Use leaf accounts; do not also sum parent</x:v>
      </x:c>
    </x:row>
    <x:row r="11" ht="46" customHeight="1">
      <x:c r="A11" s="15" t="str">
        <x:v>subscription_revenue</x:v>
      </x:c>
      <x:c r="B11" s="15" t="str">
        <x:v>1701-MS</x:v>
      </x:c>
      <x:c r="C11" s="15" t="str">
        <x:v>IV.19</x:v>
      </x:c>
      <x:c r="D11" s="15" t="str">
        <x:v>Aggregate eligible net sales</x:v>
      </x:c>
      <x:c r="E11" s="15" t="str">
        <x:v>Year</x:v>
      </x:c>
      <x:c r="F11" s="15" t="str">
        <x:v>8% pathway only; subtract eligible returns</x:v>
      </x:c>
      <x:c r="G11" s="15" t="str">
        <x:v>Do not use gross bank deposits</x:v>
      </x:c>
    </x:row>
    <x:row r="12" ht="46" customHeight="1">
      <x:c r="A12" s="12" t="str">
        <x:v>transaction_revenue</x:v>
      </x:c>
      <x:c r="B12" s="12" t="str">
        <x:v>2551Q</x:v>
      </x:c>
      <x:c r="C12" s="12" t="str">
        <x:v>S1.1.base</x:v>
      </x:c>
      <x:c r="D12" s="12" t="str">
        <x:v>Aggregate tax-tagged revenue</x:v>
      </x:c>
      <x:c r="E12" s="12" t="str">
        <x:v>Quarter</x:v>
      </x:c>
      <x:c r="F12" s="12" t="str">
        <x:v>PT010 eligible sales, applicable recognition date</x:v>
      </x:c>
      <x:c r="G12" s="12" t="str">
        <x:v>Other ATCs require their own schedule row</x:v>
      </x:c>
    </x:row>
    <x:row r="13" ht="46" customHeight="1">
      <x:c r="A13" s="15" t="str">
        <x:v>transaction_revenue</x:v>
      </x:c>
      <x:c r="B13" s="15" t="str">
        <x:v>1701-MS</x:v>
      </x:c>
      <x:c r="C13" s="15" t="str">
        <x:v>IV.5</x:v>
      </x:c>
      <x:c r="D13" s="15" t="str">
        <x:v>Aggregate income-eligible gross sales</x:v>
      </x:c>
      <x:c r="E13" s="15" t="str">
        <x:v>Year</x:v>
      </x:c>
      <x:c r="F13" s="15" t="str">
        <x:v>Filer, non-final income, exclude VAT</x:v>
      </x:c>
      <x:c r="G13" s="15" t="str">
        <x:v>Use leaf accounts; do not also sum parent</x:v>
      </x:c>
    </x:row>
    <x:row r="14" ht="46" customHeight="1">
      <x:c r="A14" s="12" t="str">
        <x:v>transaction_revenue</x:v>
      </x:c>
      <x:c r="B14" s="12" t="str">
        <x:v>1701-MS</x:v>
      </x:c>
      <x:c r="C14" s="12" t="str">
        <x:v>IV.19</x:v>
      </x:c>
      <x:c r="D14" s="12" t="str">
        <x:v>Aggregate eligible net sales</x:v>
      </x:c>
      <x:c r="E14" s="12" t="str">
        <x:v>Year</x:v>
      </x:c>
      <x:c r="F14" s="12" t="str">
        <x:v>8% pathway only; subtract eligible returns</x:v>
      </x:c>
      <x:c r="G14" s="12" t="str">
        <x:v>Do not use gross bank deposits</x:v>
      </x:c>
    </x:row>
    <x:row r="15" ht="46" customHeight="1">
      <x:c r="A15" s="15" t="str">
        <x:v>refunds_and_discounts</x:v>
      </x:c>
      <x:c r="B15" s="15" t="str">
        <x:v>2551Q</x:v>
      </x:c>
      <x:c r="C15" s="15" t="str">
        <x:v>S1.1.base</x:v>
      </x:c>
      <x:c r="D15" s="15" t="str">
        <x:v>Subtract eligible sales adjustments</x:v>
      </x:c>
      <x:c r="E15" s="15" t="str">
        <x:v>Quarter</x:v>
      </x:c>
      <x:c r="F15" s="15" t="str">
        <x:v>PT010 adjustment to covered sale</x:v>
      </x:c>
      <x:c r="G15" s="15" t="str">
        <x:v>Confirm recognition and credit note</x:v>
      </x:c>
    </x:row>
    <x:row r="16" ht="46" customHeight="1">
      <x:c r="A16" s="12" t="str">
        <x:v>refunds_and_discounts</x:v>
      </x:c>
      <x:c r="B16" s="12" t="str">
        <x:v>1701-MS</x:v>
      </x:c>
      <x:c r="C16" s="12" t="str">
        <x:v>IV.6</x:v>
      </x:c>
      <x:c r="D16" s="12" t="str">
        <x:v>Sum eligible contra sales</x:v>
      </x:c>
      <x:c r="E16" s="12" t="str">
        <x:v>Year</x:v>
      </x:c>
      <x:c r="F16" s="12" t="str">
        <x:v>Graduated/special pathway</x:v>
      </x:c>
      <x:c r="G16" s="12" t="str">
        <x:v>Do not treat as unrelated expense</x:v>
      </x:c>
    </x:row>
    <x:row r="17" ht="46" customHeight="1">
      <x:c r="A17" s="15" t="str">
        <x:v>refunds_and_discounts</x:v>
      </x:c>
      <x:c r="B17" s="15" t="str">
        <x:v>1701-MS</x:v>
      </x:c>
      <x:c r="C17" s="15" t="str">
        <x:v>IV.19</x:v>
      </x:c>
      <x:c r="D17" s="15" t="str">
        <x:v>Subtract eligible contra sales</x:v>
      </x:c>
      <x:c r="E17" s="15" t="str">
        <x:v>Year</x:v>
      </x:c>
      <x:c r="F17" s="15" t="str">
        <x:v>8% pathway</x:v>
      </x:c>
      <x:c r="G17" s="15" t="str">
        <x:v>Same adjustment must not be counted twice</x:v>
      </x:c>
    </x:row>
    <x:row r="18" ht="46" customHeight="1">
      <x:c r="A18" s="12" t="str">
        <x:v>other_non_operating_income</x:v>
      </x:c>
      <x:c r="B18" s="12" t="str">
        <x:v>1701-MS</x:v>
      </x:c>
      <x:c r="C18" s="12" t="str">
        <x:v>IV.13</x:v>
      </x:c>
      <x:c r="D18" s="12" t="str">
        <x:v>Aggregate eligible other income</x:v>
      </x:c>
      <x:c r="E18" s="12" t="str">
        <x:v>Year</x:v>
      </x:c>
      <x:c r="F18" s="12" t="str">
        <x:v>Graduated / special pathway</x:v>
      </x:c>
      <x:c r="G18" s="12" t="str">
        <x:v>Final-tax income requires separate treatment</x:v>
      </x:c>
    </x:row>
    <x:row r="19" ht="46" customHeight="1">
      <x:c r="A19" s="15" t="str">
        <x:v>other_non_operating_income</x:v>
      </x:c>
      <x:c r="B19" s="15" t="str">
        <x:v>1701-MS</x:v>
      </x:c>
      <x:c r="C19" s="15" t="str">
        <x:v>IV.20</x:v>
      </x:c>
      <x:c r="D19" s="15" t="str">
        <x:v>Aggregate eligible other income</x:v>
      </x:c>
      <x:c r="E19" s="15" t="str">
        <x:v>Year</x:v>
      </x:c>
      <x:c r="F19" s="15" t="str">
        <x:v>8% pathway and eligibility test</x:v>
      </x:c>
      <x:c r="G19" s="15" t="str">
        <x:v>Exclude final-tax income when applicable</x:v>
      </x:c>
    </x:row>
    <x:row r="20" ht="46" customHeight="1">
      <x:c r="A20" s="12" t="str">
        <x:v>interest_income</x:v>
      </x:c>
      <x:c r="B20" s="12" t="str">
        <x:v>1701-MS</x:v>
      </x:c>
      <x:c r="C20" s="12" t="str">
        <x:v>IV.13</x:v>
      </x:c>
      <x:c r="D20" s="12" t="str">
        <x:v>Aggregate eligible other income</x:v>
      </x:c>
      <x:c r="E20" s="12" t="str">
        <x:v>Year</x:v>
      </x:c>
      <x:c r="F20" s="12" t="str">
        <x:v>Graduated / special pathway</x:v>
      </x:c>
      <x:c r="G20" s="12" t="str">
        <x:v>Final-tax income requires separate treatment</x:v>
      </x:c>
    </x:row>
    <x:row r="21" ht="46" customHeight="1">
      <x:c r="A21" s="15" t="str">
        <x:v>interest_income</x:v>
      </x:c>
      <x:c r="B21" s="15" t="str">
        <x:v>1701-MS</x:v>
      </x:c>
      <x:c r="C21" s="15" t="str">
        <x:v>IV.20</x:v>
      </x:c>
      <x:c r="D21" s="15" t="str">
        <x:v>Aggregate eligible other income</x:v>
      </x:c>
      <x:c r="E21" s="15" t="str">
        <x:v>Year</x:v>
      </x:c>
      <x:c r="F21" s="15" t="str">
        <x:v>8% pathway and eligibility test</x:v>
      </x:c>
      <x:c r="G21" s="15" t="str">
        <x:v>Exclude final-tax income when applicable</x:v>
      </x:c>
    </x:row>
    <x:row r="22" ht="46" customHeight="1">
      <x:c r="A22" s="12" t="str">
        <x:v>cost_of_goods_sold</x:v>
      </x:c>
      <x:c r="B22" s="12" t="str">
        <x:v>1701-MS</x:v>
      </x:c>
      <x:c r="C22" s="12" t="str">
        <x:v>IV.8</x:v>
      </x:c>
      <x:c r="D22" s="12" t="str">
        <x:v>Sum allowable cost</x:v>
      </x:c>
      <x:c r="E22" s="12" t="str">
        <x:v>Year</x:v>
      </x:c>
      <x:c r="F22" s="12" t="str">
        <x:v>Itemized deduction method</x:v>
      </x:c>
      <x:c r="G22" s="12" t="str">
        <x:v>OSD and 8% do not separately deduct this cost</x:v>
      </x:c>
    </x:row>
    <x:row r="23" ht="46" customHeight="1">
      <x:c r="A23" s="15" t="str">
        <x:v>direct_service_cost</x:v>
      </x:c>
      <x:c r="B23" s="15" t="str">
        <x:v>1701-MS</x:v>
      </x:c>
      <x:c r="C23" s="15" t="str">
        <x:v>IV.8</x:v>
      </x:c>
      <x:c r="D23" s="15" t="str">
        <x:v>Sum allowable cost</x:v>
      </x:c>
      <x:c r="E23" s="15" t="str">
        <x:v>Year</x:v>
      </x:c>
      <x:c r="F23" s="15" t="str">
        <x:v>Itemized deduction method</x:v>
      </x:c>
      <x:c r="G23" s="15" t="str">
        <x:v>OSD and 8% do not separately deduct this cost</x:v>
      </x:c>
    </x:row>
    <x:row r="24" ht="46" customHeight="1">
      <x:c r="A24" s="12" t="str">
        <x:v>salaries</x:v>
      </x:c>
      <x:c r="B24" s="12" t="str">
        <x:v>1701-MS</x:v>
      </x:c>
      <x:c r="C24" s="12" t="str">
        <x:v>IV.10A</x:v>
      </x:c>
      <x:c r="D24" s="12" t="str">
        <x:v>Sum tax-eligible expenses</x:v>
      </x:c>
      <x:c r="E24" s="12" t="str">
        <x:v>Year</x:v>
      </x:c>
      <x:c r="F24" s="12" t="str">
        <x:v>Itemized method + deductible amount + substantiation</x:v>
      </x:c>
      <x:c r="G24" s="12" t="str">
        <x:v>Not every book expense is deductible; avoid cost-of-sales duplication</x:v>
      </x:c>
    </x:row>
    <x:row r="25" ht="46" customHeight="1">
      <x:c r="A25" s="15" t="str">
        <x:v>employee_benefits</x:v>
      </x:c>
      <x:c r="B25" s="15" t="str">
        <x:v>1701-MS</x:v>
      </x:c>
      <x:c r="C25" s="15" t="str">
        <x:v>IV.10A</x:v>
      </x:c>
      <x:c r="D25" s="15" t="str">
        <x:v>Sum tax-eligible expenses</x:v>
      </x:c>
      <x:c r="E25" s="15" t="str">
        <x:v>Year</x:v>
      </x:c>
      <x:c r="F25" s="15" t="str">
        <x:v>Itemized method + deductible amount + substantiation</x:v>
      </x:c>
      <x:c r="G25" s="15" t="str">
        <x:v>Not every book expense is deductible; avoid cost-of-sales duplication</x:v>
      </x:c>
    </x:row>
    <x:row r="26" ht="46" customHeight="1">
      <x:c r="A26" s="12" t="str">
        <x:v>retirement_contributions</x:v>
      </x:c>
      <x:c r="B26" s="12" t="str">
        <x:v>1701-MS</x:v>
      </x:c>
      <x:c r="C26" s="12" t="str">
        <x:v>IV.10A</x:v>
      </x:c>
      <x:c r="D26" s="12" t="str">
        <x:v>Sum tax-eligible expenses</x:v>
      </x:c>
      <x:c r="E26" s="12" t="str">
        <x:v>Year</x:v>
      </x:c>
      <x:c r="F26" s="12" t="str">
        <x:v>Itemized method + deductible amount + substantiation</x:v>
      </x:c>
      <x:c r="G26" s="12" t="str">
        <x:v>Not every book expense is deductible; avoid cost-of-sales duplication</x:v>
      </x:c>
    </x:row>
    <x:row r="27" ht="46" customHeight="1">
      <x:c r="A27" s="15" t="str">
        <x:v>employer_payroll_taxes</x:v>
      </x:c>
      <x:c r="B27" s="15" t="str">
        <x:v>1701-MS</x:v>
      </x:c>
      <x:c r="C27" s="15" t="str">
        <x:v>IV.10A</x:v>
      </x:c>
      <x:c r="D27" s="15" t="str">
        <x:v>Sum tax-eligible expenses</x:v>
      </x:c>
      <x:c r="E27" s="15" t="str">
        <x:v>Year</x:v>
      </x:c>
      <x:c r="F27" s="15" t="str">
        <x:v>Itemized method + deductible amount + substantiation</x:v>
      </x:c>
      <x:c r="G27" s="15" t="str">
        <x:v>Not every book expense is deductible; avoid cost-of-sales duplication</x:v>
      </x:c>
    </x:row>
    <x:row r="28" ht="46" customHeight="1">
      <x:c r="A28" s="12" t="str">
        <x:v>payroll_processing_fees</x:v>
      </x:c>
      <x:c r="B28" s="12" t="str">
        <x:v>1701-MS</x:v>
      </x:c>
      <x:c r="C28" s="12" t="str">
        <x:v>IV.10A</x:v>
      </x:c>
      <x:c r="D28" s="12" t="str">
        <x:v>Sum tax-eligible expenses</x:v>
      </x:c>
      <x:c r="E28" s="12" t="str">
        <x:v>Year</x:v>
      </x:c>
      <x:c r="F28" s="12" t="str">
        <x:v>Itemized method + deductible amount + substantiation</x:v>
      </x:c>
      <x:c r="G28" s="12" t="str">
        <x:v>Not every book expense is deductible; avoid cost-of-sales duplication</x:v>
      </x:c>
    </x:row>
    <x:row r="29" ht="46" customHeight="1">
      <x:c r="A29" s="15" t="str">
        <x:v>consultants_and_contractors</x:v>
      </x:c>
      <x:c r="B29" s="15" t="str">
        <x:v>1701-MS</x:v>
      </x:c>
      <x:c r="C29" s="15" t="str">
        <x:v>IV.10A</x:v>
      </x:c>
      <x:c r="D29" s="15" t="str">
        <x:v>Sum tax-eligible expenses</x:v>
      </x:c>
      <x:c r="E29" s="15" t="str">
        <x:v>Year</x:v>
      </x:c>
      <x:c r="F29" s="15" t="str">
        <x:v>Itemized method + deductible amount + substantiation</x:v>
      </x:c>
      <x:c r="G29" s="15" t="str">
        <x:v>Not every book expense is deductible; avoid cost-of-sales duplication</x:v>
      </x:c>
    </x:row>
    <x:row r="30" ht="46" customHeight="1">
      <x:c r="A30" s="12" t="str">
        <x:v>legal</x:v>
      </x:c>
      <x:c r="B30" s="12" t="str">
        <x:v>1701-MS</x:v>
      </x:c>
      <x:c r="C30" s="12" t="str">
        <x:v>IV.10A</x:v>
      </x:c>
      <x:c r="D30" s="12" t="str">
        <x:v>Sum tax-eligible expenses</x:v>
      </x:c>
      <x:c r="E30" s="12" t="str">
        <x:v>Year</x:v>
      </x:c>
      <x:c r="F30" s="12" t="str">
        <x:v>Itemized method + deductible amount + substantiation</x:v>
      </x:c>
      <x:c r="G30" s="12" t="str">
        <x:v>Not every book expense is deductible; avoid cost-of-sales duplication</x:v>
      </x:c>
    </x:row>
    <x:row r="31" ht="46" customHeight="1">
      <x:c r="A31" s="15" t="str">
        <x:v>tax_and_accounting</x:v>
      </x:c>
      <x:c r="B31" s="15" t="str">
        <x:v>1701-MS</x:v>
      </x:c>
      <x:c r="C31" s="15" t="str">
        <x:v>IV.10A</x:v>
      </x:c>
      <x:c r="D31" s="15" t="str">
        <x:v>Sum tax-eligible expenses</x:v>
      </x:c>
      <x:c r="E31" s="15" t="str">
        <x:v>Year</x:v>
      </x:c>
      <x:c r="F31" s="15" t="str">
        <x:v>Itemized method + deductible amount + substantiation</x:v>
      </x:c>
      <x:c r="G31" s="15" t="str">
        <x:v>Not every book expense is deductible; avoid cost-of-sales duplication</x:v>
      </x:c>
    </x:row>
    <x:row r="32" ht="46" customHeight="1">
      <x:c r="A32" s="12" t="str">
        <x:v>advertising</x:v>
      </x:c>
      <x:c r="B32" s="12" t="str">
        <x:v>1701-MS</x:v>
      </x:c>
      <x:c r="C32" s="12" t="str">
        <x:v>IV.10A</x:v>
      </x:c>
      <x:c r="D32" s="12" t="str">
        <x:v>Sum tax-eligible expenses</x:v>
      </x:c>
      <x:c r="E32" s="12" t="str">
        <x:v>Year</x:v>
      </x:c>
      <x:c r="F32" s="12" t="str">
        <x:v>Itemized method + deductible amount + substantiation</x:v>
      </x:c>
      <x:c r="G32" s="12" t="str">
        <x:v>Not every book expense is deductible; avoid cost-of-sales duplication</x:v>
      </x:c>
    </x:row>
    <x:row r="33" ht="46" customHeight="1">
      <x:c r="A33" s="15" t="str">
        <x:v>business_applications_and_software</x:v>
      </x:c>
      <x:c r="B33" s="15" t="str">
        <x:v>1701-MS</x:v>
      </x:c>
      <x:c r="C33" s="15" t="str">
        <x:v>IV.10A</x:v>
      </x:c>
      <x:c r="D33" s="15" t="str">
        <x:v>Sum tax-eligible expenses</x:v>
      </x:c>
      <x:c r="E33" s="15" t="str">
        <x:v>Year</x:v>
      </x:c>
      <x:c r="F33" s="15" t="str">
        <x:v>Itemized method + deductible amount + substantiation</x:v>
      </x:c>
      <x:c r="G33" s="15" t="str">
        <x:v>Not every book expense is deductible; avoid cost-of-sales duplication</x:v>
      </x:c>
    </x:row>
    <x:row r="34" ht="46" customHeight="1">
      <x:c r="A34" s="12" t="str">
        <x:v>rent</x:v>
      </x:c>
      <x:c r="B34" s="12" t="str">
        <x:v>1701-MS</x:v>
      </x:c>
      <x:c r="C34" s="12" t="str">
        <x:v>IV.10A</x:v>
      </x:c>
      <x:c r="D34" s="12" t="str">
        <x:v>Sum tax-eligible expenses</x:v>
      </x:c>
      <x:c r="E34" s="12" t="str">
        <x:v>Year</x:v>
      </x:c>
      <x:c r="F34" s="12" t="str">
        <x:v>Itemized method + deductible amount + substantiation</x:v>
      </x:c>
      <x:c r="G34" s="12" t="str">
        <x:v>Not every book expense is deductible; avoid cost-of-sales duplication</x:v>
      </x:c>
    </x:row>
    <x:row r="35" ht="46" customHeight="1">
      <x:c r="A35" s="15" t="str">
        <x:v>utilities</x:v>
      </x:c>
      <x:c r="B35" s="15" t="str">
        <x:v>1701-MS</x:v>
      </x:c>
      <x:c r="C35" s="15" t="str">
        <x:v>IV.10A</x:v>
      </x:c>
      <x:c r="D35" s="15" t="str">
        <x:v>Sum tax-eligible expenses</x:v>
      </x:c>
      <x:c r="E35" s="15" t="str">
        <x:v>Year</x:v>
      </x:c>
      <x:c r="F35" s="15" t="str">
        <x:v>Itemized method + deductible amount + substantiation</x:v>
      </x:c>
      <x:c r="G35" s="15" t="str">
        <x:v>Not every book expense is deductible; avoid cost-of-sales duplication</x:v>
      </x:c>
    </x:row>
    <x:row r="36" ht="46" customHeight="1">
      <x:c r="A36" s="12" t="str">
        <x:v>repairs_and_maintenance</x:v>
      </x:c>
      <x:c r="B36" s="12" t="str">
        <x:v>1701-MS</x:v>
      </x:c>
      <x:c r="C36" s="12" t="str">
        <x:v>IV.10A</x:v>
      </x:c>
      <x:c r="D36" s="12" t="str">
        <x:v>Sum tax-eligible expenses</x:v>
      </x:c>
      <x:c r="E36" s="12" t="str">
        <x:v>Year</x:v>
      </x:c>
      <x:c r="F36" s="12" t="str">
        <x:v>Itemized method + deductible amount + substantiation</x:v>
      </x:c>
      <x:c r="G36" s="12" t="str">
        <x:v>Not every book expense is deductible; avoid cost-of-sales duplication</x:v>
      </x:c>
    </x:row>
    <x:row r="37" ht="46" customHeight="1">
      <x:c r="A37" s="15" t="str">
        <x:v>office_supplies</x:v>
      </x:c>
      <x:c r="B37" s="15" t="str">
        <x:v>1701-MS</x:v>
      </x:c>
      <x:c r="C37" s="15" t="str">
        <x:v>IV.10A</x:v>
      </x:c>
      <x:c r="D37" s="15" t="str">
        <x:v>Sum tax-eligible expenses</x:v>
      </x:c>
      <x:c r="E37" s="15" t="str">
        <x:v>Year</x:v>
      </x:c>
      <x:c r="F37" s="15" t="str">
        <x:v>Itemized method + deductible amount + substantiation</x:v>
      </x:c>
      <x:c r="G37" s="15" t="str">
        <x:v>Not every book expense is deductible; avoid cost-of-sales duplication</x:v>
      </x:c>
    </x:row>
    <x:row r="38" ht="46" customHeight="1">
      <x:c r="A38" s="12" t="str">
        <x:v>airfare</x:v>
      </x:c>
      <x:c r="B38" s="12" t="str">
        <x:v>1701-MS</x:v>
      </x:c>
      <x:c r="C38" s="12" t="str">
        <x:v>IV.10A</x:v>
      </x:c>
      <x:c r="D38" s="12" t="str">
        <x:v>Sum tax-eligible expenses</x:v>
      </x:c>
      <x:c r="E38" s="12" t="str">
        <x:v>Year</x:v>
      </x:c>
      <x:c r="F38" s="12" t="str">
        <x:v>Itemized method + deductible amount + substantiation</x:v>
      </x:c>
      <x:c r="G38" s="12" t="str">
        <x:v>Not every book expense is deductible; avoid cost-of-sales duplication</x:v>
      </x:c>
    </x:row>
    <x:row r="39" ht="46" customHeight="1">
      <x:c r="A39" s="15" t="str">
        <x:v>meals</x:v>
      </x:c>
      <x:c r="B39" s="15" t="str">
        <x:v>1701-MS</x:v>
      </x:c>
      <x:c r="C39" s="15" t="str">
        <x:v>IV.10A</x:v>
      </x:c>
      <x:c r="D39" s="15" t="str">
        <x:v>Sum tax-eligible expenses</x:v>
      </x:c>
      <x:c r="E39" s="15" t="str">
        <x:v>Year</x:v>
      </x:c>
      <x:c r="F39" s="15" t="str">
        <x:v>Itemized method + deductible amount + substantiation</x:v>
      </x:c>
      <x:c r="G39" s="15" t="str">
        <x:v>Not every book expense is deductible; avoid cost-of-sales duplication</x:v>
      </x:c>
    </x:row>
    <x:row r="40" ht="46" customHeight="1">
      <x:c r="A40" s="12" t="str">
        <x:v>bank_fees</x:v>
      </x:c>
      <x:c r="B40" s="12" t="str">
        <x:v>1701-MS</x:v>
      </x:c>
      <x:c r="C40" s="12" t="str">
        <x:v>IV.10A</x:v>
      </x:c>
      <x:c r="D40" s="12" t="str">
        <x:v>Sum tax-eligible expenses</x:v>
      </x:c>
      <x:c r="E40" s="12" t="str">
        <x:v>Year</x:v>
      </x:c>
      <x:c r="F40" s="12" t="str">
        <x:v>Itemized method + deductible amount + substantiation</x:v>
      </x:c>
      <x:c r="G40" s="12" t="str">
        <x:v>Not every book expense is deductible; avoid cost-of-sales duplication</x:v>
      </x:c>
    </x:row>
    <x:row r="41" ht="46" customHeight="1">
      <x:c r="A41" s="15" t="str">
        <x:v>interest_expense</x:v>
      </x:c>
      <x:c r="B41" s="15" t="str">
        <x:v>1701-MS</x:v>
      </x:c>
      <x:c r="C41" s="15" t="str">
        <x:v>IV.10A</x:v>
      </x:c>
      <x:c r="D41" s="15" t="str">
        <x:v>Sum tax-eligible expenses</x:v>
      </x:c>
      <x:c r="E41" s="15" t="str">
        <x:v>Year</x:v>
      </x:c>
      <x:c r="F41" s="15" t="str">
        <x:v>Itemized method + deductible amount + substantiation</x:v>
      </x:c>
      <x:c r="G41" s="15" t="str">
        <x:v>Not every book expense is deductible; avoid cost-of-sales duplication</x:v>
      </x:c>
    </x:row>
    <x:row r="42" ht="46" customHeight="1">
      <x:c r="A42" s="12" t="str">
        <x:v>depreciation_expense</x:v>
      </x:c>
      <x:c r="B42" s="12" t="str">
        <x:v>1701-MS</x:v>
      </x:c>
      <x:c r="C42" s="12" t="str">
        <x:v>IV.10A</x:v>
      </x:c>
      <x:c r="D42" s="12" t="str">
        <x:v>Sum tax-eligible expenses</x:v>
      </x:c>
      <x:c r="E42" s="12" t="str">
        <x:v>Year</x:v>
      </x:c>
      <x:c r="F42" s="12" t="str">
        <x:v>Itemized method + deductible amount + substantiation</x:v>
      </x:c>
      <x:c r="G42" s="12" t="str">
        <x:v>Not every book expense is deductible; avoid cost-of-sales duplication</x:v>
      </x:c>
    </x:row>
    <x:row r="43" ht="46" customHeight="1">
      <x:c r="A43" s="15" t="str">
        <x:v>ph_percentage_tax_expense</x:v>
      </x:c>
      <x:c r="B43" s="15" t="str">
        <x:v>1701-MS</x:v>
      </x:c>
      <x:c r="C43" s="15" t="str">
        <x:v>IV.10A</x:v>
      </x:c>
      <x:c r="D43" s="15" t="str">
        <x:v>Sum tax-eligible expenses</x:v>
      </x:c>
      <x:c r="E43" s="15" t="str">
        <x:v>Year</x:v>
      </x:c>
      <x:c r="F43" s="15" t="str">
        <x:v>Itemized method + deductible amount + substantiation</x:v>
      </x:c>
      <x:c r="G43" s="15" t="str">
        <x:v>Not every book expense is deductible; avoid cost-of-sales duplication</x:v>
      </x:c>
    </x:row>
    <x:row r="44" ht="46" customHeight="1">
      <x:c r="A44" s="12" t="str">
        <x:v>payment_processing_fees</x:v>
      </x:c>
      <x:c r="B44" s="12" t="str">
        <x:v>1701-MS</x:v>
      </x:c>
      <x:c r="C44" s="12" t="str">
        <x:v>IV.8</x:v>
      </x:c>
      <x:c r="D44" s="12" t="str">
        <x:v>Review classification</x:v>
      </x:c>
      <x:c r="E44" s="12" t="str">
        <x:v>Year</x:v>
      </x:c>
      <x:c r="F44" s="12" t="str">
        <x:v>Itemized and treated as cost of services</x:v>
      </x:c>
      <x:c r="G44" s="12" t="str">
        <x:v>May instead be operating expense; never both</x:v>
      </x:c>
    </x:row>
    <x:row r="45" ht="46" customHeight="1">
      <x:c r="A45" s="15" t="str">
        <x:v>hosting_fees</x:v>
      </x:c>
      <x:c r="B45" s="15" t="str">
        <x:v>1701-MS</x:v>
      </x:c>
      <x:c r="C45" s="15" t="str">
        <x:v>IV.8</x:v>
      </x:c>
      <x:c r="D45" s="15" t="str">
        <x:v>Review classification</x:v>
      </x:c>
      <x:c r="E45" s="15" t="str">
        <x:v>Year</x:v>
      </x:c>
      <x:c r="F45" s="15" t="str">
        <x:v>Itemized and treated as cost of services</x:v>
      </x:c>
      <x:c r="G45" s="15" t="str">
        <x:v>May instead be operating expense; never both</x:v>
      </x:c>
    </x:row>
    <x:row r="46" ht="46" customHeight="1">
      <x:c r="A46" s="12" t="str">
        <x:v>salaries</x:v>
      </x:c>
      <x:c r="B46" s="12" t="str">
        <x:v>1601-C</x:v>
      </x:c>
      <x:c r="C46" s="12" t="str">
        <x:v>II.14</x:v>
      </x:c>
      <x:c r="D46" s="12" t="str">
        <x:v>Reconcile to payroll detail</x:v>
      </x:c>
      <x:c r="E46" s="12" t="str">
        <x:v>Month</x:v>
      </x:c>
      <x:c r="F46" s="12" t="str">
        <x:v>Employee gross compensation</x:v>
      </x:c>
      <x:c r="G46" s="12" t="str">
        <x:v>Form source is employee payroll, not aggregate GL alone</x:v>
      </x:c>
    </x:row>
    <x:row r="47" ht="46" customHeight="1">
      <x:c r="A47" s="15" t="str">
        <x:v>employee_benefits</x:v>
      </x:c>
      <x:c r="B47" s="15" t="str">
        <x:v>1601-C</x:v>
      </x:c>
      <x:c r="C47" s="15" t="str">
        <x:v>II.14</x:v>
      </x:c>
      <x:c r="D47" s="15" t="str">
        <x:v>Reconcile to payroll detail</x:v>
      </x:c>
      <x:c r="E47" s="15" t="str">
        <x:v>Month</x:v>
      </x:c>
      <x:c r="F47" s="15" t="str">
        <x:v>Employee gross compensation</x:v>
      </x:c>
      <x:c r="G47" s="15" t="str">
        <x:v>Form source is employee payroll, not aggregate GL alone</x:v>
      </x:c>
    </x:row>
    <x:row r="48" ht="46" customHeight="1">
      <x:c r="A48" s="12" t="str">
        <x:v>ph_wtc_payable</x:v>
      </x:c>
      <x:c r="B48" s="12" t="str">
        <x:v>1601-C</x:v>
      </x:c>
      <x:c r="C48" s="12" t="str">
        <x:v>II.25</x:v>
      </x:c>
      <x:c r="D48" s="12" t="str">
        <x:v>Reconcile withholding postings</x:v>
      </x:c>
      <x:c r="E48" s="12" t="str">
        <x:v>Month</x:v>
      </x:c>
      <x:c r="F48" s="12" t="str">
        <x:v>Posted withholding by payroll event</x:v>
      </x:c>
      <x:c r="G48" s="12" t="str">
        <x:v>Use employee withholding sum; exclude remittance and other movements</x:v>
      </x:c>
    </x:row>
    <x:row r="49" ht="46" customHeight="1">
      <x:c r="A49" s="15" t="str">
        <x:v>ph_sss_payable</x:v>
      </x:c>
      <x:c r="B49" s="15" t="str">
        <x:v>1601-C</x:v>
      </x:c>
      <x:c r="C49" s="15" t="str">
        <x:v>II.19</x:v>
      </x:c>
      <x:c r="D49" s="15" t="str">
        <x:v>Reconcile to employee-share detail</x:v>
      </x:c>
      <x:c r="E49" s="15" t="str">
        <x:v>Month</x:v>
      </x:c>
      <x:c r="F49" s="15" t="str">
        <x:v>Payroll employee share only</x:v>
      </x:c>
      <x:c r="G49" s="15" t="str">
        <x:v>Control balance can include employer share; do not use full account total</x:v>
      </x:c>
    </x:row>
    <x:row r="50" ht="46" customHeight="1">
      <x:c r="A50" s="12" t="str">
        <x:v>ph_philhealth_payable</x:v>
      </x:c>
      <x:c r="B50" s="12" t="str">
        <x:v>1601-C</x:v>
      </x:c>
      <x:c r="C50" s="12" t="str">
        <x:v>II.19</x:v>
      </x:c>
      <x:c r="D50" s="12" t="str">
        <x:v>Reconcile to employee-share detail</x:v>
      </x:c>
      <x:c r="E50" s="12" t="str">
        <x:v>Month</x:v>
      </x:c>
      <x:c r="F50" s="12" t="str">
        <x:v>Payroll employee share only</x:v>
      </x:c>
      <x:c r="G50" s="12" t="str">
        <x:v>Control balance can include employer share; do not use full account total</x:v>
      </x:c>
    </x:row>
    <x:row r="51" ht="46" customHeight="1">
      <x:c r="A51" s="15" t="str">
        <x:v>ph_pagibig_payable</x:v>
      </x:c>
      <x:c r="B51" s="15" t="str">
        <x:v>1601-C</x:v>
      </x:c>
      <x:c r="C51" s="15" t="str">
        <x:v>II.19</x:v>
      </x:c>
      <x:c r="D51" s="15" t="str">
        <x:v>Reconcile to employee-share detail</x:v>
      </x:c>
      <x:c r="E51" s="15" t="str">
        <x:v>Month</x:v>
      </x:c>
      <x:c r="F51" s="15" t="str">
        <x:v>Payroll employee share only</x:v>
      </x:c>
      <x:c r="G51" s="15" t="str">
        <x:v>Control balance can include employer share; do not use full account total</x:v>
      </x:c>
    </x:row>
    <x:row r="52" ht="46" customHeight="1">
      <x:c r="A52" s="12" t="str">
        <x:v>ph_union_dues_payable</x:v>
      </x:c>
      <x:c r="B52" s="12" t="str">
        <x:v>1601-C</x:v>
      </x:c>
      <x:c r="C52" s="12" t="str">
        <x:v>II.19</x:v>
      </x:c>
      <x:c r="D52" s="12" t="str">
        <x:v>Reconcile to employee-share detail</x:v>
      </x:c>
      <x:c r="E52" s="12" t="str">
        <x:v>Month</x:v>
      </x:c>
      <x:c r="F52" s="12" t="str">
        <x:v>Payroll employee share only</x:v>
      </x:c>
      <x:c r="G52" s="12" t="str">
        <x:v>Control balance can include employer share; do not use full account total</x:v>
      </x:c>
    </x:row>
    <x:row r="53" ht="46" customHeight="1">
      <x:c r="A53" s="15" t="str">
        <x:v>ph_cwt_receivable</x:v>
      </x:c>
      <x:c r="B53" s="15" t="str">
        <x:v>1701-MS</x:v>
      </x:c>
      <x:c r="C53" s="15" t="str">
        <x:v>V.3</x:v>
      </x:c>
      <x:c r="D53" s="15" t="str">
        <x:v>Aggregate eligible income-tax credits</x:v>
      </x:c>
      <x:c r="E53" s="15" t="str">
        <x:v>Q1–Q3</x:v>
      </x:c>
      <x:c r="F53" s="15" t="str">
        <x:v>2307 / 1606 income tax</x:v>
      </x:c>
      <x:c r="G53" s="15" t="str">
        <x:v>Trace certificate, payer, income and period</x:v>
      </x:c>
    </x:row>
    <x:row r="54" ht="46" customHeight="1">
      <x:c r="A54" s="12" t="str">
        <x:v>ph_cwt_receivable</x:v>
      </x:c>
      <x:c r="B54" s="12" t="str">
        <x:v>1701-MS</x:v>
      </x:c>
      <x:c r="C54" s="12" t="str">
        <x:v>V.4</x:v>
      </x:c>
      <x:c r="D54" s="12" t="str">
        <x:v>Aggregate eligible income-tax credits</x:v>
      </x:c>
      <x:c r="E54" s="12" t="str">
        <x:v>Q4</x:v>
      </x:c>
      <x:c r="F54" s="12" t="str">
        <x:v>2307 / 1606 income tax</x:v>
      </x:c>
      <x:c r="G54" s="12" t="str">
        <x:v>Not percentage-tax withheld</x:v>
      </x:c>
    </x:row>
    <x:row r="55" ht="46" customHeight="1">
      <x:c r="A55" s="15" t="str">
        <x:v>pct_tax_credit_receivable</x:v>
      </x:c>
      <x:c r="B55" s="15" t="str">
        <x:v>2551Q</x:v>
      </x:c>
      <x:c r="C55" s="15" t="str">
        <x:v>II.15</x:v>
      </x:c>
      <x:c r="D55" s="15" t="str">
        <x:v>Aggregate eligible percentage-tax credits</x:v>
      </x:c>
      <x:c r="E55" s="15" t="str">
        <x:v>Quarter</x:v>
      </x:c>
      <x:c r="F55" s="15" t="str">
        <x:v>2307 percentage-tax withholding</x:v>
      </x:c>
      <x:c r="G55" s="15" t="str">
        <x:v>Must not mix with income-tax 2307</x:v>
      </x:c>
    </x:row>
    <x:row r="56" ht="46" customHeight="1">
      <x:c r="A56" s="12" t="str">
        <x:v>income_tax_paid</x:v>
      </x:c>
      <x:c r="B56" s="12" t="str">
        <x:v>1701-MS</x:v>
      </x:c>
      <x:c r="C56" s="12" t="str">
        <x:v>V.2</x:v>
      </x:c>
      <x:c r="D56" s="12" t="str">
        <x:v>Aggregate previous quarterly income tax paid</x:v>
      </x:c>
      <x:c r="E56" s="12" t="str">
        <x:v>Q1–Q3</x:v>
      </x:c>
      <x:c r="F56" s="12" t="str">
        <x:v>1701Q payment proof</x:v>
      </x:c>
      <x:c r="G56" s="12" t="str">
        <x:v>Do not add withholding amount as a second cash payment</x:v>
      </x:c>
    </x:row>
    <x:row r="57" ht="46" customHeight="1">
      <x:c r="A57" s="15" t="str">
        <x:v>ph_percentage_tax_payable</x:v>
      </x:c>
      <x:c r="B57" s="15" t="str">
        <x:v>2551Q</x:v>
      </x:c>
      <x:c r="C57" s="15" t="str">
        <x:v>II.14</x:v>
      </x:c>
      <x:c r="D57" s="15" t="str">
        <x:v>Reconcile tax liability</x:v>
      </x:c>
      <x:c r="E57" s="15" t="str">
        <x:v>Quarter</x:v>
      </x:c>
      <x:c r="F57" s="15" t="str">
        <x:v>Posted percentage-tax assessment</x:v>
      </x:c>
      <x:c r="G57" s="15" t="str">
        <x:v>Return tax is computed from ATC base, not payable balance</x:v>
      </x:c>
    </x:row>
  </x:sheetData>
  <x:pageMargins left="0.7" right="0.7" top="0.75" bottom="0.75" header="0.3" footer="0.3"/>
  <x:tableParts count="1">
    <x:tablePart xmlns:r="http://schemas.openxmlformats.org/officeDocument/2006/relationships" r:id="R275a3e20758c47c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1" hidden="0" customWidth="1"/>
    <x:col min="3" max="3" width="44" hidden="0" customWidth="1"/>
    <x:col min="4" max="4" width="22" hidden="0" customWidth="1"/>
    <x:col min="5" max="5" width="42" hidden="0" customWidth="1"/>
    <x:col min="6" max="6" width="55" hidden="0" customWidth="1"/>
    <x:col min="7" max="7" width="20" hidden="0" customWidth="1"/>
    <x:col min="8" max="8" width="18" hidden="0" customWidth="1"/>
  </x:cols>
  <x:sheetData>
    <x:row r="1" ht="24" customHeight="1">
      <x:c r="A1" s="1" t="str">
        <x:v>2551Q field dictionary</x:v>
      </x:c>
    </x:row>
    <x:row r="2" ht="24" customHeight="1">
      <x:c r="A2" s="2" t="str">
        <x:v>January 2018 (ENCS), 2 pages. Stable IDs include the section to prevent duplicated item numbers.</x:v>
      </x:c>
    </x:row>
    <x:row r="3" ht="24" customHeight="1">
      <x:c r="A3" s="3" t="str">
        <x:v>Rows 1–6 of Schedule 1 and each payment column are expanded. Official source S1.</x:v>
      </x:c>
    </x:row>
    <x:row r="5" ht="32" customHeight="1">
      <x:c r="A5" s="14" t="str">
        <x:v>Section</x:v>
      </x:c>
      <x:c r="B5" s="14" t="str">
        <x:v>Field ID</x:v>
      </x:c>
      <x:c r="C5" s="14" t="str">
        <x:v>BIR field</x:v>
      </x:c>
      <x:c r="D5" s="14" t="str">
        <x:v>Origin</x:v>
      </x:c>
      <x:c r="E5" s="14" t="str">
        <x:v>Source / data</x:v>
      </x:c>
      <x:c r="F5" s="14" t="str">
        <x:v>Rule or condition</x:v>
      </x:c>
      <x:c r="G5" s="14" t="str">
        <x:v>Grain</x:v>
      </x:c>
      <x:c r="H5" s="14" t="str">
        <x:v>Status</x:v>
      </x:c>
    </x:row>
    <x:row r="6" ht="46" customHeight="1">
      <x:c r="A6" s="12" t="str">
        <x:v>Header</x:v>
      </x:c>
      <x:c r="B6" s="12" t="str">
        <x:v>H.1</x:v>
      </x:c>
      <x:c r="C6" s="12" t="str">
        <x:v>Calendar or fiscal year</x:v>
      </x:c>
      <x:c r="D6" s="12" t="str">
        <x:v>Profile</x:v>
      </x:c>
      <x:c r="E6" s="12" t="str">
        <x:v>Fiscal-year configuration</x:v>
      </x:c>
      <x:c r="F6" s="12" t="str">
        <x:v>Calendar/fiscal selector</x:v>
      </x:c>
      <x:c r="G6" s="12" t="str">
        <x:v>Return</x:v>
      </x:c>
      <x:c r="H6" s="12" t="str">
        <x:v>Specified</x:v>
      </x:c>
    </x:row>
    <x:row r="7" ht="46" customHeight="1">
      <x:c r="A7" s="15" t="str">
        <x:v>Header</x:v>
      </x:c>
      <x:c r="B7" s="15" t="str">
        <x:v>H.2</x:v>
      </x:c>
      <x:c r="C7" s="15" t="str">
        <x:v>Year ended (MM/YYYY)</x:v>
      </x:c>
      <x:c r="D7" s="15" t="str">
        <x:v>Period</x:v>
      </x:c>
      <x:c r="E7" s="15" t="str">
        <x:v>Tax period end</x:v>
      </x:c>
      <x:c r="F7" s="15" t="str">
        <x:v>Do not infer solely from transaction date</x:v>
      </x:c>
      <x:c r="G7" s="15" t="str">
        <x:v>Return</x:v>
      </x:c>
      <x:c r="H7" s="15" t="str">
        <x:v>Specified</x:v>
      </x:c>
    </x:row>
    <x:row r="8" ht="46" customHeight="1">
      <x:c r="A8" s="12" t="str">
        <x:v>Header</x:v>
      </x:c>
      <x:c r="B8" s="12" t="str">
        <x:v>H.3</x:v>
      </x:c>
      <x:c r="C8" s="12" t="str">
        <x:v>Quarter</x:v>
      </x:c>
      <x:c r="D8" s="12" t="str">
        <x:v>Period</x:v>
      </x:c>
      <x:c r="E8" s="12" t="str">
        <x:v>Return period</x:v>
      </x:c>
      <x:c r="F8" s="12" t="str">
        <x:v>1st / 2nd / 3rd / 4th</x:v>
      </x:c>
      <x:c r="G8" s="12" t="str">
        <x:v>Return</x:v>
      </x:c>
      <x:c r="H8" s="12" t="str">
        <x:v>Specified</x:v>
      </x:c>
    </x:row>
    <x:row r="9" ht="46" customHeight="1">
      <x:c r="A9" s="15" t="str">
        <x:v>Header</x:v>
      </x:c>
      <x:c r="B9" s="15" t="str">
        <x:v>H.4</x:v>
      </x:c>
      <x:c r="C9" s="15" t="str">
        <x:v>Amended return?</x:v>
      </x:c>
      <x:c r="D9" s="15" t="str">
        <x:v>Filing</x:v>
      </x:c>
      <x:c r="E9" s="15" t="str">
        <x:v>Return version</x:v>
      </x:c>
      <x:c r="F9" s="15" t="str">
        <x:v>Link original filing when Yes</x:v>
      </x:c>
      <x:c r="G9" s="15" t="str">
        <x:v>Return</x:v>
      </x:c>
      <x:c r="H9" s="15" t="str">
        <x:v>Specified</x:v>
      </x:c>
    </x:row>
    <x:row r="10" ht="46" customHeight="1">
      <x:c r="A10" s="12" t="str">
        <x:v>Header</x:v>
      </x:c>
      <x:c r="B10" s="12" t="str">
        <x:v>H.5</x:v>
      </x:c>
      <x:c r="C10" s="12" t="str">
        <x:v>Number of sheets attached</x:v>
      </x:c>
      <x:c r="D10" s="12" t="str">
        <x:v>Filing</x:v>
      </x:c>
      <x:c r="E10" s="12" t="str">
        <x:v>Attachment list</x:v>
      </x:c>
      <x:c r="F10" s="12" t="str">
        <x:v>Count the submitted sheets</x:v>
      </x:c>
      <x:c r="G10" s="12" t="str">
        <x:v>Return</x:v>
      </x:c>
      <x:c r="H10" s="12" t="str">
        <x:v>Specified</x:v>
      </x:c>
    </x:row>
    <x:row r="11" ht="46" customHeight="1">
      <x:c r="A11" s="15" t="str">
        <x:v>I</x:v>
      </x:c>
      <x:c r="B11" s="15" t="str">
        <x:v>I.6</x:v>
      </x:c>
      <x:c r="C11" s="15" t="str">
        <x:v>Taxpayer identification number</x:v>
      </x:c>
      <x:c r="D11" s="15" t="str">
        <x:v>Profile</x:v>
      </x:c>
      <x:c r="E11" s="15" t="str">
        <x:v>org_tax_profiles.tin + branchCode</x:v>
      </x:c>
      <x:c r="F11" s="15" t="str">
        <x:v>Validate taxpayer and branch</x:v>
      </x:c>
      <x:c r="G11" s="15" t="str">
        <x:v>Return</x:v>
      </x:c>
      <x:c r="H11" s="15" t="str">
        <x:v>Specified</x:v>
      </x:c>
    </x:row>
    <x:row r="12" ht="46" customHeight="1">
      <x:c r="A12" s="12" t="str">
        <x:v>I</x:v>
      </x:c>
      <x:c r="B12" s="12" t="str">
        <x:v>I.7</x:v>
      </x:c>
      <x:c r="C12" s="12" t="str">
        <x:v>RDO code</x:v>
      </x:c>
      <x:c r="D12" s="12" t="str">
        <x:v>Profile</x:v>
      </x:c>
      <x:c r="E12" s="12" t="str">
        <x:v>org_tax_profiles.rdoCode</x:v>
      </x:c>
      <x:c r="F12" s="12" t="str">
        <x:v>Use registered RDO</x:v>
      </x:c>
      <x:c r="G12" s="12" t="str">
        <x:v>Return</x:v>
      </x:c>
      <x:c r="H12" s="12" t="str">
        <x:v>Specified</x:v>
      </x:c>
    </x:row>
    <x:row r="13" ht="46" customHeight="1">
      <x:c r="A13" s="15" t="str">
        <x:v>I</x:v>
      </x:c>
      <x:c r="B13" s="15" t="str">
        <x:v>I.8</x:v>
      </x:c>
      <x:c r="C13" s="15" t="str">
        <x:v>Taxpayer name</x:v>
      </x:c>
      <x:c r="D13" s="15" t="str">
        <x:v>Profile</x:v>
      </x:c>
      <x:c r="E13" s="15" t="str">
        <x:v>registeredName</x:v>
      </x:c>
      <x:c r="F13" s="15" t="str">
        <x:v>Individual full name or entity registered name</x:v>
      </x:c>
      <x:c r="G13" s="15" t="str">
        <x:v>Return</x:v>
      </x:c>
      <x:c r="H13" s="15" t="str">
        <x:v>Specified</x:v>
      </x:c>
    </x:row>
    <x:row r="14" ht="46" customHeight="1">
      <x:c r="A14" s="12" t="str">
        <x:v>I</x:v>
      </x:c>
      <x:c r="B14" s="12" t="str">
        <x:v>I.9</x:v>
      </x:c>
      <x:c r="C14" s="12" t="str">
        <x:v>Registered address</x:v>
      </x:c>
      <x:c r="D14" s="12" t="str">
        <x:v>Profile</x:v>
      </x:c>
      <x:c r="E14" s="12" t="str">
        <x:v>Registered address / branch profile</x:v>
      </x:c>
      <x:c r="F14" s="12" t="str">
        <x:v>Use correct filing identity</x:v>
      </x:c>
      <x:c r="G14" s="12" t="str">
        <x:v>Return</x:v>
      </x:c>
      <x:c r="H14" s="12" t="str">
        <x:v>Specified</x:v>
      </x:c>
    </x:row>
    <x:row r="15" ht="46" customHeight="1">
      <x:c r="A15" s="15" t="str">
        <x:v>I</x:v>
      </x:c>
      <x:c r="B15" s="15" t="str">
        <x:v>I.9A</x:v>
      </x:c>
      <x:c r="C15" s="15" t="str">
        <x:v>ZIP code</x:v>
      </x:c>
      <x:c r="D15" s="15" t="str">
        <x:v>Profile</x:v>
      </x:c>
      <x:c r="E15" s="15" t="str">
        <x:v>Registered address</x:v>
      </x:c>
      <x:c r="F15" s="15" t="str">
        <x:v>Text identifier, not a number</x:v>
      </x:c>
      <x:c r="G15" s="15" t="str">
        <x:v>Return</x:v>
      </x:c>
      <x:c r="H15" s="15" t="str">
        <x:v>Specified</x:v>
      </x:c>
    </x:row>
    <x:row r="16" ht="46" customHeight="1">
      <x:c r="A16" s="12" t="str">
        <x:v>I</x:v>
      </x:c>
      <x:c r="B16" s="12" t="str">
        <x:v>I.10</x:v>
      </x:c>
      <x:c r="C16" s="12" t="str">
        <x:v>Contact number</x:v>
      </x:c>
      <x:c r="D16" s="12" t="str">
        <x:v>Profile</x:v>
      </x:c>
      <x:c r="E16" s="12" t="str">
        <x:v>Contact data</x:v>
      </x:c>
      <x:c r="F16" s="12" t="str">
        <x:v>Not an accounting category</x:v>
      </x:c>
      <x:c r="G16" s="12" t="str">
        <x:v>Return</x:v>
      </x:c>
      <x:c r="H16" s="12" t="str">
        <x:v>Specified</x:v>
      </x:c>
    </x:row>
    <x:row r="17" ht="46" customHeight="1">
      <x:c r="A17" s="15" t="str">
        <x:v>I</x:v>
      </x:c>
      <x:c r="B17" s="15" t="str">
        <x:v>I.11</x:v>
      </x:c>
      <x:c r="C17" s="15" t="str">
        <x:v>Email address</x:v>
      </x:c>
      <x:c r="D17" s="15" t="str">
        <x:v>Profile</x:v>
      </x:c>
      <x:c r="E17" s="15" t="str">
        <x:v>Contact data</x:v>
      </x:c>
      <x:c r="F17" s="15" t="str">
        <x:v>Not an accounting category</x:v>
      </x:c>
      <x:c r="G17" s="15" t="str">
        <x:v>Return</x:v>
      </x:c>
      <x:c r="H17" s="15" t="str">
        <x:v>Specified</x:v>
      </x:c>
    </x:row>
    <x:row r="18" ht="46" customHeight="1">
      <x:c r="A18" s="12" t="str">
        <x:v>I</x:v>
      </x:c>
      <x:c r="B18" s="12" t="str">
        <x:v>I.12</x:v>
      </x:c>
      <x:c r="C18" s="12" t="str">
        <x:v>Relief under special law or treaty?</x:v>
      </x:c>
      <x:c r="D18" s="12" t="str">
        <x:v>Tax profile</x:v>
      </x:c>
      <x:c r="E18" s="12" t="str">
        <x:v>Relief election</x:v>
      </x:c>
      <x:c r="F18" s="12" t="str">
        <x:v>Conditional Yes/No</x:v>
      </x:c>
      <x:c r="G18" s="12" t="str">
        <x:v>Return</x:v>
      </x:c>
      <x:c r="H18" s="12" t="str">
        <x:v>Specified</x:v>
      </x:c>
    </x:row>
    <x:row r="19" ht="46" customHeight="1">
      <x:c r="A19" s="15" t="str">
        <x:v>I</x:v>
      </x:c>
      <x:c r="B19" s="15" t="str">
        <x:v>I.12A</x:v>
      </x:c>
      <x:c r="C19" s="15" t="str">
        <x:v>Specify relief</x:v>
      </x:c>
      <x:c r="D19" s="15" t="str">
        <x:v>Tax profile</x:v>
      </x:c>
      <x:c r="E19" s="15" t="str">
        <x:v>Relief authority</x:v>
      </x:c>
      <x:c r="F19" s="15" t="str">
        <x:v>Required if applicable</x:v>
      </x:c>
      <x:c r="G19" s="15" t="str">
        <x:v>Return</x:v>
      </x:c>
      <x:c r="H19" s="15" t="str">
        <x:v>Specified</x:v>
      </x:c>
    </x:row>
    <x:row r="20" ht="46" customHeight="1">
      <x:c r="A20" s="12" t="str">
        <x:v>I</x:v>
      </x:c>
      <x:c r="B20" s="12" t="str">
        <x:v>I.13</x:v>
      </x:c>
      <x:c r="C20" s="12" t="str">
        <x:v>Income-tax rates availed</x:v>
      </x:c>
      <x:c r="D20" s="12" t="str">
        <x:v>Election</x:v>
      </x:c>
      <x:c r="E20" s="12" t="str">
        <x:v>Tax-year election</x:v>
      </x:c>
      <x:c r="F20" s="12" t="str">
        <x:v>Initial quarter, individuals subject to Section 116; 8% is not always compatible with recurring PT010</x:v>
      </x:c>
      <x:c r="G20" s="12" t="str">
        <x:v>Return</x:v>
      </x:c>
      <x:c r="H20" s="12" t="str">
        <x:v>Specified</x:v>
      </x:c>
    </x:row>
    <x:row r="21" ht="46" customHeight="1">
      <x:c r="A21" s="15" t="str">
        <x:v>II</x:v>
      </x:c>
      <x:c r="B21" s="15" t="str">
        <x:v>II.14</x:v>
      </x:c>
      <x:c r="C21" s="15" t="str">
        <x:v>Total tax due</x:v>
      </x:c>
      <x:c r="D21" s="15" t="str">
        <x:v>Calculated</x:v>
      </x:c>
      <x:c r="E21" s="15" t="str">
        <x:v>Schedule 1.7</x:v>
      </x:c>
      <x:c r="F21" s="15" t="str">
        <x:v>Copy S1.7, not a ledger account</x:v>
      </x:c>
      <x:c r="G21" s="15" t="str">
        <x:v>Return</x:v>
      </x:c>
      <x:c r="H21" s="15" t="str">
        <x:v>Specified</x:v>
      </x:c>
    </x:row>
    <x:row r="22" ht="46" customHeight="1">
      <x:c r="A22" s="12" t="str">
        <x:v>II</x:v>
      </x:c>
      <x:c r="B22" s="12" t="str">
        <x:v>II.15</x:v>
      </x:c>
      <x:c r="C22" s="12" t="str">
        <x:v>Creditable percentage tax withheld per 2307</x:v>
      </x:c>
      <x:c r="D22" s="12" t="str">
        <x:v>Certificate</x:v>
      </x:c>
      <x:c r="E22" s="12" t="str">
        <x:v>Percentage-tax withholding certificate lines</x:v>
      </x:c>
      <x:c r="F22" s="12" t="str">
        <x:v>Do not use income-tax 2307 withholding</x:v>
      </x:c>
      <x:c r="G22" s="12" t="str">
        <x:v>Return</x:v>
      </x:c>
      <x:c r="H22" s="12" t="str">
        <x:v>Specified</x:v>
      </x:c>
    </x:row>
    <x:row r="23" ht="46" customHeight="1">
      <x:c r="A23" s="15" t="str">
        <x:v>II</x:v>
      </x:c>
      <x:c r="B23" s="15" t="str">
        <x:v>II.16</x:v>
      </x:c>
      <x:c r="C23" s="15" t="str">
        <x:v>Tax paid in previously filed return</x:v>
      </x:c>
      <x:c r="D23" s="15" t="str">
        <x:v>Filing payment</x:v>
      </x:c>
      <x:c r="E23" s="15" t="str">
        <x:v>Previously filed 2551Q</x:v>
      </x:c>
      <x:c r="F23" s="15" t="str">
        <x:v>Only amended return, with proof</x:v>
      </x:c>
      <x:c r="G23" s="15" t="str">
        <x:v>Return</x:v>
      </x:c>
      <x:c r="H23" s="15" t="str">
        <x:v>Specified</x:v>
      </x:c>
    </x:row>
    <x:row r="24" ht="46" customHeight="1">
      <x:c r="A24" s="12" t="str">
        <x:v>II</x:v>
      </x:c>
      <x:c r="B24" s="12" t="str">
        <x:v>II.17</x:v>
      </x:c>
      <x:c r="C24" s="12" t="str">
        <x:v>Other tax credit/payment + description</x:v>
      </x:c>
      <x:c r="D24" s="12" t="str">
        <x:v>Manual review</x:v>
      </x:c>
      <x:c r="E24" s="12" t="str">
        <x:v>Eligible percentage-tax credit/payment</x:v>
      </x:c>
      <x:c r="F24" s="12" t="str">
        <x:v>Record type and proof</x:v>
      </x:c>
      <x:c r="G24" s="12" t="str">
        <x:v>Return</x:v>
      </x:c>
      <x:c r="H24" s="12" t="str">
        <x:v>Specified</x:v>
      </x:c>
    </x:row>
    <x:row r="25" ht="46" customHeight="1">
      <x:c r="A25" s="15" t="str">
        <x:v>II</x:v>
      </x:c>
      <x:c r="B25" s="15" t="str">
        <x:v>II.18</x:v>
      </x:c>
      <x:c r="C25" s="15" t="str">
        <x:v>Total tax credits/payments</x:v>
      </x:c>
      <x:c r="D25" s="15" t="str">
        <x:v>Calculated</x:v>
      </x:c>
      <x:c r="E25" s="15" t="str">
        <x:v>II.15 + II.16 + II.17</x:v>
      </x:c>
      <x:c r="F25" s="15" t="str">
        <x:v>Preserve type and proof</x:v>
      </x:c>
      <x:c r="G25" s="15" t="str">
        <x:v>Return</x:v>
      </x:c>
      <x:c r="H25" s="15" t="str">
        <x:v>Specified</x:v>
      </x:c>
    </x:row>
    <x:row r="26" ht="46" customHeight="1">
      <x:c r="A26" s="12" t="str">
        <x:v>II</x:v>
      </x:c>
      <x:c r="B26" s="12" t="str">
        <x:v>II.19</x:v>
      </x:c>
      <x:c r="C26" s="12" t="str">
        <x:v>Tax still payable / overpayment</x:v>
      </x:c>
      <x:c r="D26" s="12" t="str">
        <x:v>Calculated</x:v>
      </x:c>
      <x:c r="E26" s="12" t="str">
        <x:v>II.14 - II.18</x:v>
      </x:c>
      <x:c r="F26" s="12" t="str">
        <x:v>Keep sign; no silent clamp</x:v>
      </x:c>
      <x:c r="G26" s="12" t="str">
        <x:v>Return</x:v>
      </x:c>
      <x:c r="H26" s="12" t="str">
        <x:v>Specified</x:v>
      </x:c>
    </x:row>
    <x:row r="27" ht="46" customHeight="1">
      <x:c r="A27" s="15" t="str">
        <x:v>II</x:v>
      </x:c>
      <x:c r="B27" s="15" t="str">
        <x:v>II.20</x:v>
      </x:c>
      <x:c r="C27" s="15" t="str">
        <x:v>Surcharge</x:v>
      </x:c>
      <x:c r="D27" s="15" t="str">
        <x:v>Manual review</x:v>
      </x:c>
      <x:c r="E27" s="15" t="str">
        <x:v>Penalty assessment</x:v>
      </x:c>
      <x:c r="F27" s="15" t="str">
        <x:v>Not ordinary tax-base transaction</x:v>
      </x:c>
      <x:c r="G27" s="15" t="str">
        <x:v>Return</x:v>
      </x:c>
      <x:c r="H27" s="15" t="str">
        <x:v>Specified</x:v>
      </x:c>
    </x:row>
    <x:row r="28" ht="46" customHeight="1">
      <x:c r="A28" s="12" t="str">
        <x:v>II</x:v>
      </x:c>
      <x:c r="B28" s="12" t="str">
        <x:v>II.21</x:v>
      </x:c>
      <x:c r="C28" s="12" t="str">
        <x:v>Interest</x:v>
      </x:c>
      <x:c r="D28" s="12" t="str">
        <x:v>Manual review</x:v>
      </x:c>
      <x:c r="E28" s="12" t="str">
        <x:v>Penalty assessment</x:v>
      </x:c>
      <x:c r="F28" s="12" t="str">
        <x:v>Versioned legal calculation</x:v>
      </x:c>
      <x:c r="G28" s="12" t="str">
        <x:v>Return</x:v>
      </x:c>
      <x:c r="H28" s="12" t="str">
        <x:v>Specified</x:v>
      </x:c>
    </x:row>
    <x:row r="29" ht="46" customHeight="1">
      <x:c r="A29" s="15" t="str">
        <x:v>II</x:v>
      </x:c>
      <x:c r="B29" s="15" t="str">
        <x:v>II.22</x:v>
      </x:c>
      <x:c r="C29" s="15" t="str">
        <x:v>Compromise</x:v>
      </x:c>
      <x:c r="D29" s="15" t="str">
        <x:v>Manual review</x:v>
      </x:c>
      <x:c r="E29" s="15" t="str">
        <x:v>Penalty assessment</x:v>
      </x:c>
      <x:c r="F29" s="15" t="str">
        <x:v>User / BIR-reviewed value</x:v>
      </x:c>
      <x:c r="G29" s="15" t="str">
        <x:v>Return</x:v>
      </x:c>
      <x:c r="H29" s="15" t="str">
        <x:v>Specified</x:v>
      </x:c>
    </x:row>
    <x:row r="30" ht="46" customHeight="1">
      <x:c r="A30" s="12" t="str">
        <x:v>II</x:v>
      </x:c>
      <x:c r="B30" s="12" t="str">
        <x:v>II.23</x:v>
      </x:c>
      <x:c r="C30" s="12" t="str">
        <x:v>Total penalties</x:v>
      </x:c>
      <x:c r="D30" s="12" t="str">
        <x:v>Calculated</x:v>
      </x:c>
      <x:c r="E30" s="12" t="str">
        <x:v>II.20 + II.21 + II.22</x:v>
      </x:c>
      <x:c r="F30" s="12" t="str">
        <x:v>Do not invent penalties</x:v>
      </x:c>
      <x:c r="G30" s="12" t="str">
        <x:v>Return</x:v>
      </x:c>
      <x:c r="H30" s="12" t="str">
        <x:v>Specified</x:v>
      </x:c>
    </x:row>
    <x:row r="31" ht="46" customHeight="1">
      <x:c r="A31" s="15" t="str">
        <x:v>II</x:v>
      </x:c>
      <x:c r="B31" s="15" t="str">
        <x:v>II.24</x:v>
      </x:c>
      <x:c r="C31" s="15" t="str">
        <x:v>Total amount payable / overpayment</x:v>
      </x:c>
      <x:c r="D31" s="15" t="str">
        <x:v>Calculated</x:v>
      </x:c>
      <x:c r="E31" s="15" t="str">
        <x:v>II.19 + II.23</x:v>
      </x:c>
      <x:c r="F31" s="15" t="str">
        <x:v>Keep sign</x:v>
      </x:c>
      <x:c r="G31" s="15" t="str">
        <x:v>Return</x:v>
      </x:c>
      <x:c r="H31" s="15" t="str">
        <x:v>Specified</x:v>
      </x:c>
    </x:row>
    <x:row r="32" ht="46" customHeight="1">
      <x:c r="A32" s="12" t="str">
        <x:v>II</x:v>
      </x:c>
      <x:c r="B32" s="12" t="str">
        <x:v>II.overpayment</x:v>
      </x:c>
      <x:c r="C32" s="12" t="str">
        <x:v>Refund or tax-credit-certificate selection</x:v>
      </x:c>
      <x:c r="D32" s="12" t="str">
        <x:v>Filing decision</x:v>
      </x:c>
      <x:c r="E32" s="12" t="str">
        <x:v>Preparer decision</x:v>
      </x:c>
      <x:c r="F32" s="12" t="str">
        <x:v>Only when eligible overpayment exists</x:v>
      </x:c>
      <x:c r="G32" s="12" t="str">
        <x:v>Return</x:v>
      </x:c>
      <x:c r="H32" s="12" t="str">
        <x:v>Specified</x:v>
      </x:c>
    </x:row>
    <x:row r="33" ht="46" customHeight="1">
      <x:c r="A33" s="15" t="str">
        <x:v>III</x:v>
      </x:c>
      <x:c r="B33" s="15" t="str">
        <x:v>III.25.bank</x:v>
      </x:c>
      <x:c r="C33" s="15" t="str">
        <x:v>Cash / bank debit: Drawee bank / agency</x:v>
      </x:c>
      <x:c r="D33" s="15" t="str">
        <x:v>Payment</x:v>
      </x:c>
      <x:c r="E33" s="15" t="str">
        <x:v>Payment evidence</x:v>
      </x:c>
      <x:c r="F33" s="15" t="str">
        <x:v>Record only if method 25 is used</x:v>
      </x:c>
      <x:c r="G33" s="15" t="str">
        <x:v>Payment row</x:v>
      </x:c>
      <x:c r="H33" s="15" t="str">
        <x:v>Specified</x:v>
      </x:c>
    </x:row>
    <x:row r="34" ht="46" customHeight="1">
      <x:c r="A34" s="12" t="str">
        <x:v>III</x:v>
      </x:c>
      <x:c r="B34" s="12" t="str">
        <x:v>III.25.number</x:v>
      </x:c>
      <x:c r="C34" s="12" t="str">
        <x:v>Cash / bank debit: Reference number</x:v>
      </x:c>
      <x:c r="D34" s="12" t="str">
        <x:v>Payment</x:v>
      </x:c>
      <x:c r="E34" s="12" t="str">
        <x:v>Payment evidence</x:v>
      </x:c>
      <x:c r="F34" s="12" t="str">
        <x:v>Record only if method 25 is used</x:v>
      </x:c>
      <x:c r="G34" s="12" t="str">
        <x:v>Payment row</x:v>
      </x:c>
      <x:c r="H34" s="12" t="str">
        <x:v>Specified</x:v>
      </x:c>
    </x:row>
    <x:row r="35" ht="46" customHeight="1">
      <x:c r="A35" s="15" t="str">
        <x:v>III</x:v>
      </x:c>
      <x:c r="B35" s="15" t="str">
        <x:v>III.25.date</x:v>
      </x:c>
      <x:c r="C35" s="15" t="str">
        <x:v>Cash / bank debit: Payment date</x:v>
      </x:c>
      <x:c r="D35" s="15" t="str">
        <x:v>Payment</x:v>
      </x:c>
      <x:c r="E35" s="15" t="str">
        <x:v>Payment evidence</x:v>
      </x:c>
      <x:c r="F35" s="15" t="str">
        <x:v>Record only if method 25 is used</x:v>
      </x:c>
      <x:c r="G35" s="15" t="str">
        <x:v>Payment row</x:v>
      </x:c>
      <x:c r="H35" s="15" t="str">
        <x:v>Specified</x:v>
      </x:c>
    </x:row>
    <x:row r="36" ht="46" customHeight="1">
      <x:c r="A36" s="12" t="str">
        <x:v>III</x:v>
      </x:c>
      <x:c r="B36" s="12" t="str">
        <x:v>III.25.amount</x:v>
      </x:c>
      <x:c r="C36" s="12" t="str">
        <x:v>Cash / bank debit: Amount</x:v>
      </x:c>
      <x:c r="D36" s="12" t="str">
        <x:v>Payment</x:v>
      </x:c>
      <x:c r="E36" s="12" t="str">
        <x:v>Payment evidence</x:v>
      </x:c>
      <x:c r="F36" s="12" t="str">
        <x:v>Record only if method 25 is used</x:v>
      </x:c>
      <x:c r="G36" s="12" t="str">
        <x:v>Payment row</x:v>
      </x:c>
      <x:c r="H36" s="12" t="str">
        <x:v>Specified</x:v>
      </x:c>
    </x:row>
    <x:row r="37" ht="46" customHeight="1">
      <x:c r="A37" s="15" t="str">
        <x:v>III</x:v>
      </x:c>
      <x:c r="B37" s="15" t="str">
        <x:v>III.26.bank</x:v>
      </x:c>
      <x:c r="C37" s="15" t="str">
        <x:v>Check: Drawee bank / agency</x:v>
      </x:c>
      <x:c r="D37" s="15" t="str">
        <x:v>Payment</x:v>
      </x:c>
      <x:c r="E37" s="15" t="str">
        <x:v>Payment evidence</x:v>
      </x:c>
      <x:c r="F37" s="15" t="str">
        <x:v>Record only if method 26 is used</x:v>
      </x:c>
      <x:c r="G37" s="15" t="str">
        <x:v>Payment row</x:v>
      </x:c>
      <x:c r="H37" s="15" t="str">
        <x:v>Specified</x:v>
      </x:c>
    </x:row>
    <x:row r="38" ht="46" customHeight="1">
      <x:c r="A38" s="12" t="str">
        <x:v>III</x:v>
      </x:c>
      <x:c r="B38" s="12" t="str">
        <x:v>III.26.number</x:v>
      </x:c>
      <x:c r="C38" s="12" t="str">
        <x:v>Check: Reference number</x:v>
      </x:c>
      <x:c r="D38" s="12" t="str">
        <x:v>Payment</x:v>
      </x:c>
      <x:c r="E38" s="12" t="str">
        <x:v>Payment evidence</x:v>
      </x:c>
      <x:c r="F38" s="12" t="str">
        <x:v>Record only if method 26 is used</x:v>
      </x:c>
      <x:c r="G38" s="12" t="str">
        <x:v>Payment row</x:v>
      </x:c>
      <x:c r="H38" s="12" t="str">
        <x:v>Specified</x:v>
      </x:c>
    </x:row>
    <x:row r="39" ht="46" customHeight="1">
      <x:c r="A39" s="15" t="str">
        <x:v>III</x:v>
      </x:c>
      <x:c r="B39" s="15" t="str">
        <x:v>III.26.date</x:v>
      </x:c>
      <x:c r="C39" s="15" t="str">
        <x:v>Check: Payment date</x:v>
      </x:c>
      <x:c r="D39" s="15" t="str">
        <x:v>Payment</x:v>
      </x:c>
      <x:c r="E39" s="15" t="str">
        <x:v>Payment evidence</x:v>
      </x:c>
      <x:c r="F39" s="15" t="str">
        <x:v>Record only if method 26 is used</x:v>
      </x:c>
      <x:c r="G39" s="15" t="str">
        <x:v>Payment row</x:v>
      </x:c>
      <x:c r="H39" s="15" t="str">
        <x:v>Specified</x:v>
      </x:c>
    </x:row>
    <x:row r="40" ht="46" customHeight="1">
      <x:c r="A40" s="12" t="str">
        <x:v>III</x:v>
      </x:c>
      <x:c r="B40" s="12" t="str">
        <x:v>III.26.amount</x:v>
      </x:c>
      <x:c r="C40" s="12" t="str">
        <x:v>Check: Amount</x:v>
      </x:c>
      <x:c r="D40" s="12" t="str">
        <x:v>Payment</x:v>
      </x:c>
      <x:c r="E40" s="12" t="str">
        <x:v>Payment evidence</x:v>
      </x:c>
      <x:c r="F40" s="12" t="str">
        <x:v>Record only if method 26 is used</x:v>
      </x:c>
      <x:c r="G40" s="12" t="str">
        <x:v>Payment row</x:v>
      </x:c>
      <x:c r="H40" s="12" t="str">
        <x:v>Specified</x:v>
      </x:c>
    </x:row>
    <x:row r="41" ht="46" customHeight="1">
      <x:c r="A41" s="15" t="str">
        <x:v>III</x:v>
      </x:c>
      <x:c r="B41" s="15" t="str">
        <x:v>III.27.bank</x:v>
      </x:c>
      <x:c r="C41" s="15" t="str">
        <x:v>Tax debit memo: Drawee bank / agency</x:v>
      </x:c>
      <x:c r="D41" s="15" t="str">
        <x:v>Payment</x:v>
      </x:c>
      <x:c r="E41" s="15" t="str">
        <x:v>Payment evidence</x:v>
      </x:c>
      <x:c r="F41" s="15" t="str">
        <x:v>Record only if method 27 is used</x:v>
      </x:c>
      <x:c r="G41" s="15" t="str">
        <x:v>Payment row</x:v>
      </x:c>
      <x:c r="H41" s="15" t="str">
        <x:v>Specified</x:v>
      </x:c>
    </x:row>
    <x:row r="42" ht="46" customHeight="1">
      <x:c r="A42" s="12" t="str">
        <x:v>III</x:v>
      </x:c>
      <x:c r="B42" s="12" t="str">
        <x:v>III.27.number</x:v>
      </x:c>
      <x:c r="C42" s="12" t="str">
        <x:v>Tax debit memo: Reference number</x:v>
      </x:c>
      <x:c r="D42" s="12" t="str">
        <x:v>Payment</x:v>
      </x:c>
      <x:c r="E42" s="12" t="str">
        <x:v>Payment evidence</x:v>
      </x:c>
      <x:c r="F42" s="12" t="str">
        <x:v>Record only if method 27 is used</x:v>
      </x:c>
      <x:c r="G42" s="12" t="str">
        <x:v>Payment row</x:v>
      </x:c>
      <x:c r="H42" s="12" t="str">
        <x:v>Specified</x:v>
      </x:c>
    </x:row>
    <x:row r="43" ht="46" customHeight="1">
      <x:c r="A43" s="15" t="str">
        <x:v>III</x:v>
      </x:c>
      <x:c r="B43" s="15" t="str">
        <x:v>III.27.date</x:v>
      </x:c>
      <x:c r="C43" s="15" t="str">
        <x:v>Tax debit memo: Payment date</x:v>
      </x:c>
      <x:c r="D43" s="15" t="str">
        <x:v>Payment</x:v>
      </x:c>
      <x:c r="E43" s="15" t="str">
        <x:v>Payment evidence</x:v>
      </x:c>
      <x:c r="F43" s="15" t="str">
        <x:v>Record only if method 27 is used</x:v>
      </x:c>
      <x:c r="G43" s="15" t="str">
        <x:v>Payment row</x:v>
      </x:c>
      <x:c r="H43" s="15" t="str">
        <x:v>Specified</x:v>
      </x:c>
    </x:row>
    <x:row r="44" ht="46" customHeight="1">
      <x:c r="A44" s="12" t="str">
        <x:v>III</x:v>
      </x:c>
      <x:c r="B44" s="12" t="str">
        <x:v>III.27.amount</x:v>
      </x:c>
      <x:c r="C44" s="12" t="str">
        <x:v>Tax debit memo: Amount</x:v>
      </x:c>
      <x:c r="D44" s="12" t="str">
        <x:v>Payment</x:v>
      </x:c>
      <x:c r="E44" s="12" t="str">
        <x:v>Payment evidence</x:v>
      </x:c>
      <x:c r="F44" s="12" t="str">
        <x:v>Record only if method 27 is used</x:v>
      </x:c>
      <x:c r="G44" s="12" t="str">
        <x:v>Payment row</x:v>
      </x:c>
      <x:c r="H44" s="12" t="str">
        <x:v>Specified</x:v>
      </x:c>
    </x:row>
    <x:row r="45" ht="46" customHeight="1">
      <x:c r="A45" s="15" t="str">
        <x:v>III</x:v>
      </x:c>
      <x:c r="B45" s="15" t="str">
        <x:v>III.28.bank</x:v>
      </x:c>
      <x:c r="C45" s="15" t="str">
        <x:v>Other payment: Drawee bank / agency</x:v>
      </x:c>
      <x:c r="D45" s="15" t="str">
        <x:v>Payment</x:v>
      </x:c>
      <x:c r="E45" s="15" t="str">
        <x:v>Payment evidence</x:v>
      </x:c>
      <x:c r="F45" s="15" t="str">
        <x:v>Record only if method 28 is used</x:v>
      </x:c>
      <x:c r="G45" s="15" t="str">
        <x:v>Payment row</x:v>
      </x:c>
      <x:c r="H45" s="15" t="str">
        <x:v>Specified</x:v>
      </x:c>
    </x:row>
    <x:row r="46" ht="46" customHeight="1">
      <x:c r="A46" s="12" t="str">
        <x:v>III</x:v>
      </x:c>
      <x:c r="B46" s="12" t="str">
        <x:v>III.28.number</x:v>
      </x:c>
      <x:c r="C46" s="12" t="str">
        <x:v>Other payment: Reference number</x:v>
      </x:c>
      <x:c r="D46" s="12" t="str">
        <x:v>Payment</x:v>
      </x:c>
      <x:c r="E46" s="12" t="str">
        <x:v>Payment evidence</x:v>
      </x:c>
      <x:c r="F46" s="12" t="str">
        <x:v>Record only if method 28 is used</x:v>
      </x:c>
      <x:c r="G46" s="12" t="str">
        <x:v>Payment row</x:v>
      </x:c>
      <x:c r="H46" s="12" t="str">
        <x:v>Specified</x:v>
      </x:c>
    </x:row>
    <x:row r="47" ht="46" customHeight="1">
      <x:c r="A47" s="15" t="str">
        <x:v>III</x:v>
      </x:c>
      <x:c r="B47" s="15" t="str">
        <x:v>III.28.date</x:v>
      </x:c>
      <x:c r="C47" s="15" t="str">
        <x:v>Other payment: Payment date</x:v>
      </x:c>
      <x:c r="D47" s="15" t="str">
        <x:v>Payment</x:v>
      </x:c>
      <x:c r="E47" s="15" t="str">
        <x:v>Payment evidence</x:v>
      </x:c>
      <x:c r="F47" s="15" t="str">
        <x:v>Record only if method 28 is used</x:v>
      </x:c>
      <x:c r="G47" s="15" t="str">
        <x:v>Payment row</x:v>
      </x:c>
      <x:c r="H47" s="15" t="str">
        <x:v>Specified</x:v>
      </x:c>
    </x:row>
    <x:row r="48" ht="46" customHeight="1">
      <x:c r="A48" s="12" t="str">
        <x:v>III</x:v>
      </x:c>
      <x:c r="B48" s="12" t="str">
        <x:v>III.28.amount</x:v>
      </x:c>
      <x:c r="C48" s="12" t="str">
        <x:v>Other payment: Amount</x:v>
      </x:c>
      <x:c r="D48" s="12" t="str">
        <x:v>Payment</x:v>
      </x:c>
      <x:c r="E48" s="12" t="str">
        <x:v>Payment evidence</x:v>
      </x:c>
      <x:c r="F48" s="12" t="str">
        <x:v>Record only if method 28 is used</x:v>
      </x:c>
      <x:c r="G48" s="12" t="str">
        <x:v>Payment row</x:v>
      </x:c>
      <x:c r="H48" s="12" t="str">
        <x:v>Specified</x:v>
      </x:c>
    </x:row>
    <x:row r="49" ht="46" customHeight="1">
      <x:c r="A49" s="15" t="str">
        <x:v>Declaration</x:v>
      </x:c>
      <x:c r="B49" s="15" t="str">
        <x:v>DECL.signature</x:v>
      </x:c>
      <x:c r="C49" s="15" t="str">
        <x:v>Taxpayer / authorized representative signature, title and TIN</x:v>
      </x:c>
      <x:c r="D49" s="15" t="str">
        <x:v>Human</x:v>
      </x:c>
      <x:c r="E49" s="15" t="str">
        <x:v>Authorized signer</x:v>
      </x:c>
      <x:c r="F49" s="15" t="str">
        <x:v>Do not auto-sign</x:v>
      </x:c>
      <x:c r="G49" s="15" t="str">
        <x:v>Return</x:v>
      </x:c>
      <x:c r="H49" s="15" t="str">
        <x:v>Specified</x:v>
      </x:c>
    </x:row>
    <x:row r="50" ht="46" customHeight="1">
      <x:c r="A50" s="12" t="str">
        <x:v>Declaration</x:v>
      </x:c>
      <x:c r="B50" s="12" t="str">
        <x:v>DECL.agent</x:v>
      </x:c>
      <x:c r="C50" s="12" t="str">
        <x:v>Tax agent accreditation / attorney roll, issue and expiry</x:v>
      </x:c>
      <x:c r="D50" s="12" t="str">
        <x:v>Profile / manual</x:v>
      </x:c>
      <x:c r="E50" s="12" t="str">
        <x:v>Agent credentials</x:v>
      </x:c>
      <x:c r="F50" s="12" t="str">
        <x:v>If applicable</x:v>
      </x:c>
      <x:c r="G50" s="12" t="str">
        <x:v>Return</x:v>
      </x:c>
      <x:c r="H50" s="12" t="str">
        <x:v>Specified</x:v>
      </x:c>
    </x:row>
    <x:row r="51" ht="46" customHeight="1">
      <x:c r="A51" s="15" t="str">
        <x:v>Payment receipt</x:v>
      </x:c>
      <x:c r="B51" s="15" t="str">
        <x:v>RECEIPT</x:v>
      </x:c>
      <x:c r="C51" s="15" t="str">
        <x:v>Bank / ROR validation and receiving-office stamp</x:v>
      </x:c>
      <x:c r="D51" s="15" t="str">
        <x:v>Evidence</x:v>
      </x:c>
      <x:c r="E51" s="15" t="str">
        <x:v>Filing confirmation</x:v>
      </x:c>
      <x:c r="F51" s="15" t="str">
        <x:v>BIR / bank completion, not a category</x:v>
      </x:c>
      <x:c r="G51" s="15" t="str">
        <x:v>Return</x:v>
      </x:c>
      <x:c r="H51" s="15" t="str">
        <x:v>Specified</x:v>
      </x:c>
    </x:row>
    <x:row r="52" ht="46" customHeight="1">
      <x:c r="A52" s="12" t="str">
        <x:v>Schedule 1</x:v>
      </x:c>
      <x:c r="B52" s="12" t="str">
        <x:v>S1.1.ATC</x:v>
      </x:c>
      <x:c r="C52" s="12" t="str">
        <x:v>Row 1: ATC</x:v>
      </x:c>
      <x:c r="D52" s="12" t="str">
        <x:v>Tax attribute</x:v>
      </x:c>
      <x:c r="E52" s="12" t="str">
        <x:v>transaction.tax_code + active ATC catalog</x:v>
      </x:c>
      <x:c r="F52" s="12" t="str">
        <x:v>For example PT010 only if Section 116 applies</x:v>
      </x:c>
      <x:c r="G52" s="12" t="str">
        <x:v>ATC row</x:v>
      </x:c>
      <x:c r="H52" s="12" t="str">
        <x:v>Specified</x:v>
      </x:c>
    </x:row>
    <x:row r="53" ht="46" customHeight="1">
      <x:c r="A53" s="15" t="str">
        <x:v>Schedule 1</x:v>
      </x:c>
      <x:c r="B53" s="15" t="str">
        <x:v>S1.1.base</x:v>
      </x:c>
      <x:c r="C53" s="15" t="str">
        <x:v>Row 1: taxable amount</x:v>
      </x:c>
      <x:c r="D53" s="15" t="str">
        <x:v>Ledger + tax attributes</x:v>
      </x:c>
      <x:c r="E53" s="15" t="str">
        <x:v>Sales and adjustments for this ATC</x:v>
      </x:c>
      <x:c r="F53" s="15" t="str">
        <x:v>Quarter only; proper recognition and exemptions</x:v>
      </x:c>
      <x:c r="G53" s="15" t="str">
        <x:v>ATC row</x:v>
      </x:c>
      <x:c r="H53" s="15" t="str">
        <x:v>Specified</x:v>
      </x:c>
    </x:row>
    <x:row r="54" ht="46" customHeight="1">
      <x:c r="A54" s="12" t="str">
        <x:v>Schedule 1</x:v>
      </x:c>
      <x:c r="B54" s="12" t="str">
        <x:v>S1.1.rate</x:v>
      </x:c>
      <x:c r="C54" s="12" t="str">
        <x:v>Row 1: tax rate</x:v>
      </x:c>
      <x:c r="D54" s="12" t="str">
        <x:v>Reference data</x:v>
      </x:c>
      <x:c r="E54" s="12" t="str">
        <x:v>Effective-dated ATC rate</x:v>
      </x:c>
      <x:c r="F54" s="12" t="str">
        <x:v>Do not assume all industries use 3%</x:v>
      </x:c>
      <x:c r="G54" s="12" t="str">
        <x:v>ATC row</x:v>
      </x:c>
      <x:c r="H54" s="12" t="str">
        <x:v>Specified</x:v>
      </x:c>
    </x:row>
    <x:row r="55" ht="46" customHeight="1">
      <x:c r="A55" s="15" t="str">
        <x:v>Schedule 1</x:v>
      </x:c>
      <x:c r="B55" s="15" t="str">
        <x:v>S1.1.tax</x:v>
      </x:c>
      <x:c r="C55" s="15" t="str">
        <x:v>Row 1: tax due</x:v>
      </x:c>
      <x:c r="D55" s="15" t="str">
        <x:v>Calculated</x:v>
      </x:c>
      <x:c r="E55" s="15" t="str">
        <x:v>S1.1.base × S1.1.rate</x:v>
      </x:c>
      <x:c r="F55" s="15" t="str">
        <x:v>Apply form rounding and reviewed rule</x:v>
      </x:c>
      <x:c r="G55" s="15" t="str">
        <x:v>ATC row</x:v>
      </x:c>
      <x:c r="H55" s="15" t="str">
        <x:v>Specified</x:v>
      </x:c>
    </x:row>
    <x:row r="56" ht="46" customHeight="1">
      <x:c r="A56" s="12" t="str">
        <x:v>Schedule 1</x:v>
      </x:c>
      <x:c r="B56" s="12" t="str">
        <x:v>S1.2.ATC</x:v>
      </x:c>
      <x:c r="C56" s="12" t="str">
        <x:v>Row 2: ATC</x:v>
      </x:c>
      <x:c r="D56" s="12" t="str">
        <x:v>Tax attribute</x:v>
      </x:c>
      <x:c r="E56" s="12" t="str">
        <x:v>transaction.tax_code + active ATC catalog</x:v>
      </x:c>
      <x:c r="F56" s="12" t="str">
        <x:v>For example PT010 only if Section 116 applies</x:v>
      </x:c>
      <x:c r="G56" s="12" t="str">
        <x:v>ATC row</x:v>
      </x:c>
      <x:c r="H56" s="12" t="str">
        <x:v>Specified</x:v>
      </x:c>
    </x:row>
    <x:row r="57" ht="46" customHeight="1">
      <x:c r="A57" s="15" t="str">
        <x:v>Schedule 1</x:v>
      </x:c>
      <x:c r="B57" s="15" t="str">
        <x:v>S1.2.base</x:v>
      </x:c>
      <x:c r="C57" s="15" t="str">
        <x:v>Row 2: taxable amount</x:v>
      </x:c>
      <x:c r="D57" s="15" t="str">
        <x:v>Ledger + tax attributes</x:v>
      </x:c>
      <x:c r="E57" s="15" t="str">
        <x:v>Sales and adjustments for this ATC</x:v>
      </x:c>
      <x:c r="F57" s="15" t="str">
        <x:v>Quarter only; proper recognition and exemptions</x:v>
      </x:c>
      <x:c r="G57" s="15" t="str">
        <x:v>ATC row</x:v>
      </x:c>
      <x:c r="H57" s="15" t="str">
        <x:v>Specified</x:v>
      </x:c>
    </x:row>
    <x:row r="58" ht="46" customHeight="1">
      <x:c r="A58" s="12" t="str">
        <x:v>Schedule 1</x:v>
      </x:c>
      <x:c r="B58" s="12" t="str">
        <x:v>S1.2.rate</x:v>
      </x:c>
      <x:c r="C58" s="12" t="str">
        <x:v>Row 2: tax rate</x:v>
      </x:c>
      <x:c r="D58" s="12" t="str">
        <x:v>Reference data</x:v>
      </x:c>
      <x:c r="E58" s="12" t="str">
        <x:v>Effective-dated ATC rate</x:v>
      </x:c>
      <x:c r="F58" s="12" t="str">
        <x:v>Do not assume all industries use 3%</x:v>
      </x:c>
      <x:c r="G58" s="12" t="str">
        <x:v>ATC row</x:v>
      </x:c>
      <x:c r="H58" s="12" t="str">
        <x:v>Specified</x:v>
      </x:c>
    </x:row>
    <x:row r="59" ht="46" customHeight="1">
      <x:c r="A59" s="15" t="str">
        <x:v>Schedule 1</x:v>
      </x:c>
      <x:c r="B59" s="15" t="str">
        <x:v>S1.2.tax</x:v>
      </x:c>
      <x:c r="C59" s="15" t="str">
        <x:v>Row 2: tax due</x:v>
      </x:c>
      <x:c r="D59" s="15" t="str">
        <x:v>Calculated</x:v>
      </x:c>
      <x:c r="E59" s="15" t="str">
        <x:v>S1.2.base × S1.2.rate</x:v>
      </x:c>
      <x:c r="F59" s="15" t="str">
        <x:v>Apply form rounding and reviewed rule</x:v>
      </x:c>
      <x:c r="G59" s="15" t="str">
        <x:v>ATC row</x:v>
      </x:c>
      <x:c r="H59" s="15" t="str">
        <x:v>Specified</x:v>
      </x:c>
    </x:row>
    <x:row r="60" ht="46" customHeight="1">
      <x:c r="A60" s="12" t="str">
        <x:v>Schedule 1</x:v>
      </x:c>
      <x:c r="B60" s="12" t="str">
        <x:v>S1.3.ATC</x:v>
      </x:c>
      <x:c r="C60" s="12" t="str">
        <x:v>Row 3: ATC</x:v>
      </x:c>
      <x:c r="D60" s="12" t="str">
        <x:v>Tax attribute</x:v>
      </x:c>
      <x:c r="E60" s="12" t="str">
        <x:v>transaction.tax_code + active ATC catalog</x:v>
      </x:c>
      <x:c r="F60" s="12" t="str">
        <x:v>For example PT010 only if Section 116 applies</x:v>
      </x:c>
      <x:c r="G60" s="12" t="str">
        <x:v>ATC row</x:v>
      </x:c>
      <x:c r="H60" s="12" t="str">
        <x:v>Specified</x:v>
      </x:c>
    </x:row>
    <x:row r="61" ht="46" customHeight="1">
      <x:c r="A61" s="15" t="str">
        <x:v>Schedule 1</x:v>
      </x:c>
      <x:c r="B61" s="15" t="str">
        <x:v>S1.3.base</x:v>
      </x:c>
      <x:c r="C61" s="15" t="str">
        <x:v>Row 3: taxable amount</x:v>
      </x:c>
      <x:c r="D61" s="15" t="str">
        <x:v>Ledger + tax attributes</x:v>
      </x:c>
      <x:c r="E61" s="15" t="str">
        <x:v>Sales and adjustments for this ATC</x:v>
      </x:c>
      <x:c r="F61" s="15" t="str">
        <x:v>Quarter only; proper recognition and exemptions</x:v>
      </x:c>
      <x:c r="G61" s="15" t="str">
        <x:v>ATC row</x:v>
      </x:c>
      <x:c r="H61" s="15" t="str">
        <x:v>Specified</x:v>
      </x:c>
    </x:row>
    <x:row r="62" ht="46" customHeight="1">
      <x:c r="A62" s="12" t="str">
        <x:v>Schedule 1</x:v>
      </x:c>
      <x:c r="B62" s="12" t="str">
        <x:v>S1.3.rate</x:v>
      </x:c>
      <x:c r="C62" s="12" t="str">
        <x:v>Row 3: tax rate</x:v>
      </x:c>
      <x:c r="D62" s="12" t="str">
        <x:v>Reference data</x:v>
      </x:c>
      <x:c r="E62" s="12" t="str">
        <x:v>Effective-dated ATC rate</x:v>
      </x:c>
      <x:c r="F62" s="12" t="str">
        <x:v>Do not assume all industries use 3%</x:v>
      </x:c>
      <x:c r="G62" s="12" t="str">
        <x:v>ATC row</x:v>
      </x:c>
      <x:c r="H62" s="12" t="str">
        <x:v>Specified</x:v>
      </x:c>
    </x:row>
    <x:row r="63" ht="46" customHeight="1">
      <x:c r="A63" s="15" t="str">
        <x:v>Schedule 1</x:v>
      </x:c>
      <x:c r="B63" s="15" t="str">
        <x:v>S1.3.tax</x:v>
      </x:c>
      <x:c r="C63" s="15" t="str">
        <x:v>Row 3: tax due</x:v>
      </x:c>
      <x:c r="D63" s="15" t="str">
        <x:v>Calculated</x:v>
      </x:c>
      <x:c r="E63" s="15" t="str">
        <x:v>S1.3.base × S1.3.rate</x:v>
      </x:c>
      <x:c r="F63" s="15" t="str">
        <x:v>Apply form rounding and reviewed rule</x:v>
      </x:c>
      <x:c r="G63" s="15" t="str">
        <x:v>ATC row</x:v>
      </x:c>
      <x:c r="H63" s="15" t="str">
        <x:v>Specified</x:v>
      </x:c>
    </x:row>
    <x:row r="64" ht="46" customHeight="1">
      <x:c r="A64" s="12" t="str">
        <x:v>Schedule 1</x:v>
      </x:c>
      <x:c r="B64" s="12" t="str">
        <x:v>S1.4.ATC</x:v>
      </x:c>
      <x:c r="C64" s="12" t="str">
        <x:v>Row 4: ATC</x:v>
      </x:c>
      <x:c r="D64" s="12" t="str">
        <x:v>Tax attribute</x:v>
      </x:c>
      <x:c r="E64" s="12" t="str">
        <x:v>transaction.tax_code + active ATC catalog</x:v>
      </x:c>
      <x:c r="F64" s="12" t="str">
        <x:v>For example PT010 only if Section 116 applies</x:v>
      </x:c>
      <x:c r="G64" s="12" t="str">
        <x:v>ATC row</x:v>
      </x:c>
      <x:c r="H64" s="12" t="str">
        <x:v>Specified</x:v>
      </x:c>
    </x:row>
    <x:row r="65" ht="46" customHeight="1">
      <x:c r="A65" s="15" t="str">
        <x:v>Schedule 1</x:v>
      </x:c>
      <x:c r="B65" s="15" t="str">
        <x:v>S1.4.base</x:v>
      </x:c>
      <x:c r="C65" s="15" t="str">
        <x:v>Row 4: taxable amount</x:v>
      </x:c>
      <x:c r="D65" s="15" t="str">
        <x:v>Ledger + tax attributes</x:v>
      </x:c>
      <x:c r="E65" s="15" t="str">
        <x:v>Sales and adjustments for this ATC</x:v>
      </x:c>
      <x:c r="F65" s="15" t="str">
        <x:v>Quarter only; proper recognition and exemptions</x:v>
      </x:c>
      <x:c r="G65" s="15" t="str">
        <x:v>ATC row</x:v>
      </x:c>
      <x:c r="H65" s="15" t="str">
        <x:v>Specified</x:v>
      </x:c>
    </x:row>
    <x:row r="66" ht="46" customHeight="1">
      <x:c r="A66" s="12" t="str">
        <x:v>Schedule 1</x:v>
      </x:c>
      <x:c r="B66" s="12" t="str">
        <x:v>S1.4.rate</x:v>
      </x:c>
      <x:c r="C66" s="12" t="str">
        <x:v>Row 4: tax rate</x:v>
      </x:c>
      <x:c r="D66" s="12" t="str">
        <x:v>Reference data</x:v>
      </x:c>
      <x:c r="E66" s="12" t="str">
        <x:v>Effective-dated ATC rate</x:v>
      </x:c>
      <x:c r="F66" s="12" t="str">
        <x:v>Do not assume all industries use 3%</x:v>
      </x:c>
      <x:c r="G66" s="12" t="str">
        <x:v>ATC row</x:v>
      </x:c>
      <x:c r="H66" s="12" t="str">
        <x:v>Specified</x:v>
      </x:c>
    </x:row>
    <x:row r="67" ht="46" customHeight="1">
      <x:c r="A67" s="15" t="str">
        <x:v>Schedule 1</x:v>
      </x:c>
      <x:c r="B67" s="15" t="str">
        <x:v>S1.4.tax</x:v>
      </x:c>
      <x:c r="C67" s="15" t="str">
        <x:v>Row 4: tax due</x:v>
      </x:c>
      <x:c r="D67" s="15" t="str">
        <x:v>Calculated</x:v>
      </x:c>
      <x:c r="E67" s="15" t="str">
        <x:v>S1.4.base × S1.4.rate</x:v>
      </x:c>
      <x:c r="F67" s="15" t="str">
        <x:v>Apply form rounding and reviewed rule</x:v>
      </x:c>
      <x:c r="G67" s="15" t="str">
        <x:v>ATC row</x:v>
      </x:c>
      <x:c r="H67" s="15" t="str">
        <x:v>Specified</x:v>
      </x:c>
    </x:row>
    <x:row r="68" ht="46" customHeight="1">
      <x:c r="A68" s="12" t="str">
        <x:v>Schedule 1</x:v>
      </x:c>
      <x:c r="B68" s="12" t="str">
        <x:v>S1.5.ATC</x:v>
      </x:c>
      <x:c r="C68" s="12" t="str">
        <x:v>Row 5: ATC</x:v>
      </x:c>
      <x:c r="D68" s="12" t="str">
        <x:v>Tax attribute</x:v>
      </x:c>
      <x:c r="E68" s="12" t="str">
        <x:v>transaction.tax_code + active ATC catalog</x:v>
      </x:c>
      <x:c r="F68" s="12" t="str">
        <x:v>For example PT010 only if Section 116 applies</x:v>
      </x:c>
      <x:c r="G68" s="12" t="str">
        <x:v>ATC row</x:v>
      </x:c>
      <x:c r="H68" s="12" t="str">
        <x:v>Specified</x:v>
      </x:c>
    </x:row>
    <x:row r="69" ht="46" customHeight="1">
      <x:c r="A69" s="15" t="str">
        <x:v>Schedule 1</x:v>
      </x:c>
      <x:c r="B69" s="15" t="str">
        <x:v>S1.5.base</x:v>
      </x:c>
      <x:c r="C69" s="15" t="str">
        <x:v>Row 5: taxable amount</x:v>
      </x:c>
      <x:c r="D69" s="15" t="str">
        <x:v>Ledger + tax attributes</x:v>
      </x:c>
      <x:c r="E69" s="15" t="str">
        <x:v>Sales and adjustments for this ATC</x:v>
      </x:c>
      <x:c r="F69" s="15" t="str">
        <x:v>Quarter only; proper recognition and exemptions</x:v>
      </x:c>
      <x:c r="G69" s="15" t="str">
        <x:v>ATC row</x:v>
      </x:c>
      <x:c r="H69" s="15" t="str">
        <x:v>Specified</x:v>
      </x:c>
    </x:row>
    <x:row r="70" ht="46" customHeight="1">
      <x:c r="A70" s="12" t="str">
        <x:v>Schedule 1</x:v>
      </x:c>
      <x:c r="B70" s="12" t="str">
        <x:v>S1.5.rate</x:v>
      </x:c>
      <x:c r="C70" s="12" t="str">
        <x:v>Row 5: tax rate</x:v>
      </x:c>
      <x:c r="D70" s="12" t="str">
        <x:v>Reference data</x:v>
      </x:c>
      <x:c r="E70" s="12" t="str">
        <x:v>Effective-dated ATC rate</x:v>
      </x:c>
      <x:c r="F70" s="12" t="str">
        <x:v>Do not assume all industries use 3%</x:v>
      </x:c>
      <x:c r="G70" s="12" t="str">
        <x:v>ATC row</x:v>
      </x:c>
      <x:c r="H70" s="12" t="str">
        <x:v>Specified</x:v>
      </x:c>
    </x:row>
    <x:row r="71" ht="46" customHeight="1">
      <x:c r="A71" s="15" t="str">
        <x:v>Schedule 1</x:v>
      </x:c>
      <x:c r="B71" s="15" t="str">
        <x:v>S1.5.tax</x:v>
      </x:c>
      <x:c r="C71" s="15" t="str">
        <x:v>Row 5: tax due</x:v>
      </x:c>
      <x:c r="D71" s="15" t="str">
        <x:v>Calculated</x:v>
      </x:c>
      <x:c r="E71" s="15" t="str">
        <x:v>S1.5.base × S1.5.rate</x:v>
      </x:c>
      <x:c r="F71" s="15" t="str">
        <x:v>Apply form rounding and reviewed rule</x:v>
      </x:c>
      <x:c r="G71" s="15" t="str">
        <x:v>ATC row</x:v>
      </x:c>
      <x:c r="H71" s="15" t="str">
        <x:v>Specified</x:v>
      </x:c>
    </x:row>
    <x:row r="72" ht="46" customHeight="1">
      <x:c r="A72" s="12" t="str">
        <x:v>Schedule 1</x:v>
      </x:c>
      <x:c r="B72" s="12" t="str">
        <x:v>S1.6.ATC</x:v>
      </x:c>
      <x:c r="C72" s="12" t="str">
        <x:v>Row 6: ATC</x:v>
      </x:c>
      <x:c r="D72" s="12" t="str">
        <x:v>Tax attribute</x:v>
      </x:c>
      <x:c r="E72" s="12" t="str">
        <x:v>transaction.tax_code + active ATC catalog</x:v>
      </x:c>
      <x:c r="F72" s="12" t="str">
        <x:v>For example PT010 only if Section 116 applies</x:v>
      </x:c>
      <x:c r="G72" s="12" t="str">
        <x:v>ATC row</x:v>
      </x:c>
      <x:c r="H72" s="12" t="str">
        <x:v>Specified</x:v>
      </x:c>
    </x:row>
    <x:row r="73" ht="46" customHeight="1">
      <x:c r="A73" s="15" t="str">
        <x:v>Schedule 1</x:v>
      </x:c>
      <x:c r="B73" s="15" t="str">
        <x:v>S1.6.base</x:v>
      </x:c>
      <x:c r="C73" s="15" t="str">
        <x:v>Row 6: taxable amount</x:v>
      </x:c>
      <x:c r="D73" s="15" t="str">
        <x:v>Ledger + tax attributes</x:v>
      </x:c>
      <x:c r="E73" s="15" t="str">
        <x:v>Sales and adjustments for this ATC</x:v>
      </x:c>
      <x:c r="F73" s="15" t="str">
        <x:v>Quarter only; proper recognition and exemptions</x:v>
      </x:c>
      <x:c r="G73" s="15" t="str">
        <x:v>ATC row</x:v>
      </x:c>
      <x:c r="H73" s="15" t="str">
        <x:v>Specified</x:v>
      </x:c>
    </x:row>
    <x:row r="74" ht="46" customHeight="1">
      <x:c r="A74" s="12" t="str">
        <x:v>Schedule 1</x:v>
      </x:c>
      <x:c r="B74" s="12" t="str">
        <x:v>S1.6.rate</x:v>
      </x:c>
      <x:c r="C74" s="12" t="str">
        <x:v>Row 6: tax rate</x:v>
      </x:c>
      <x:c r="D74" s="12" t="str">
        <x:v>Reference data</x:v>
      </x:c>
      <x:c r="E74" s="12" t="str">
        <x:v>Effective-dated ATC rate</x:v>
      </x:c>
      <x:c r="F74" s="12" t="str">
        <x:v>Do not assume all industries use 3%</x:v>
      </x:c>
      <x:c r="G74" s="12" t="str">
        <x:v>ATC row</x:v>
      </x:c>
      <x:c r="H74" s="12" t="str">
        <x:v>Specified</x:v>
      </x:c>
    </x:row>
    <x:row r="75" ht="46" customHeight="1">
      <x:c r="A75" s="15" t="str">
        <x:v>Schedule 1</x:v>
      </x:c>
      <x:c r="B75" s="15" t="str">
        <x:v>S1.6.tax</x:v>
      </x:c>
      <x:c r="C75" s="15" t="str">
        <x:v>Row 6: tax due</x:v>
      </x:c>
      <x:c r="D75" s="15" t="str">
        <x:v>Calculated</x:v>
      </x:c>
      <x:c r="E75" s="15" t="str">
        <x:v>S1.6.base × S1.6.rate</x:v>
      </x:c>
      <x:c r="F75" s="15" t="str">
        <x:v>Apply form rounding and reviewed rule</x:v>
      </x:c>
      <x:c r="G75" s="15" t="str">
        <x:v>ATC row</x:v>
      </x:c>
      <x:c r="H75" s="15" t="str">
        <x:v>Specified</x:v>
      </x:c>
    </x:row>
    <x:row r="76" ht="46" customHeight="1">
      <x:c r="A76" s="12" t="str">
        <x:v>Schedule 1</x:v>
      </x:c>
      <x:c r="B76" s="12" t="str">
        <x:v>S1.7</x:v>
      </x:c>
      <x:c r="C76" s="12" t="str">
        <x:v>Total tax due</x:v>
      </x:c>
      <x:c r="D76" s="12" t="str">
        <x:v>Calculated</x:v>
      </x:c>
      <x:c r="E76" s="12" t="str">
        <x:v>Sum S1 rows 1–6 and additional sheets</x:v>
      </x:c>
      <x:c r="F76" s="12" t="str">
        <x:v>Carries to II.14</x:v>
      </x:c>
      <x:c r="G76" s="12" t="str">
        <x:v>Return</x:v>
      </x:c>
      <x:c r="H76" s="12" t="str">
        <x:v>Specified</x:v>
      </x:c>
    </x:row>
  </x:sheetData>
  <x:pageMargins left="0.7" right="0.7" top="0.75" bottom="0.75" header="0.3" footer="0.3"/>
  <x:tableParts count="1">
    <x:tablePart xmlns:r="http://schemas.openxmlformats.org/officeDocument/2006/relationships" r:id="Rd4cb9ade51ed454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1" hidden="0" customWidth="1"/>
    <x:col min="3" max="3" width="44" hidden="0" customWidth="1"/>
    <x:col min="4" max="4" width="22" hidden="0" customWidth="1"/>
    <x:col min="5" max="5" width="42" hidden="0" customWidth="1"/>
    <x:col min="6" max="6" width="55" hidden="0" customWidth="1"/>
    <x:col min="7" max="7" width="20" hidden="0" customWidth="1"/>
    <x:col min="8" max="8" width="18" hidden="0" customWidth="1"/>
  </x:cols>
  <x:sheetData>
    <x:row r="1" ht="24" customHeight="1">
      <x:c r="A1" s="1" t="str">
        <x:v>1601-C field dictionary</x:v>
      </x:c>
    </x:row>
    <x:row r="2" ht="24" customHeight="1">
      <x:c r="A2" s="2" t="str">
        <x:v>January 2018 (ENCS). These are employer filings; a business owner’s salary is a different dataset.</x:v>
      </x:c>
    </x:row>
    <x:row r="3" ht="24" customHeight="1">
      <x:c r="A3" s="3" t="str">
        <x:v>Employer contribution totals cannot replace the employee-share detail in item 19. Official source S2.</x:v>
      </x:c>
    </x:row>
    <x:row r="5" ht="32" customHeight="1">
      <x:c r="A5" s="14" t="str">
        <x:v>Section</x:v>
      </x:c>
      <x:c r="B5" s="14" t="str">
        <x:v>Field ID</x:v>
      </x:c>
      <x:c r="C5" s="14" t="str">
        <x:v>BIR field</x:v>
      </x:c>
      <x:c r="D5" s="14" t="str">
        <x:v>Origin</x:v>
      </x:c>
      <x:c r="E5" s="14" t="str">
        <x:v>Source / data</x:v>
      </x:c>
      <x:c r="F5" s="14" t="str">
        <x:v>Rule or condition</x:v>
      </x:c>
      <x:c r="G5" s="14" t="str">
        <x:v>Grain</x:v>
      </x:c>
      <x:c r="H5" s="14" t="str">
        <x:v>Status</x:v>
      </x:c>
    </x:row>
    <x:row r="6" ht="46" customHeight="1">
      <x:c r="A6" s="12" t="str">
        <x:v>Header</x:v>
      </x:c>
      <x:c r="B6" s="12" t="str">
        <x:v>H.1</x:v>
      </x:c>
      <x:c r="C6" s="12" t="str">
        <x:v>For the month (MM/YYYY)</x:v>
      </x:c>
      <x:c r="D6" s="12" t="str">
        <x:v>Period</x:v>
      </x:c>
      <x:c r="E6" s="12" t="str">
        <x:v>Filing period</x:v>
      </x:c>
      <x:c r="F6" s="12" t="str">
        <x:v>Monthly</x:v>
      </x:c>
      <x:c r="G6" s="12" t="str">
        <x:v>Return</x:v>
      </x:c>
      <x:c r="H6" s="12" t="str">
        <x:v>Specified</x:v>
      </x:c>
    </x:row>
    <x:row r="7" ht="46" customHeight="1">
      <x:c r="A7" s="15" t="str">
        <x:v>Header</x:v>
      </x:c>
      <x:c r="B7" s="15" t="str">
        <x:v>H.2</x:v>
      </x:c>
      <x:c r="C7" s="15" t="str">
        <x:v>Amended return?</x:v>
      </x:c>
      <x:c r="D7" s="15" t="str">
        <x:v>Filing</x:v>
      </x:c>
      <x:c r="E7" s="15" t="str">
        <x:v>Return version</x:v>
      </x:c>
      <x:c r="F7" s="15" t="str">
        <x:v>Link original</x:v>
      </x:c>
      <x:c r="G7" s="15" t="str">
        <x:v>Return</x:v>
      </x:c>
      <x:c r="H7" s="15" t="str">
        <x:v>Specified</x:v>
      </x:c>
    </x:row>
    <x:row r="8" ht="46" customHeight="1">
      <x:c r="A8" s="12" t="str">
        <x:v>Header</x:v>
      </x:c>
      <x:c r="B8" s="12" t="str">
        <x:v>H.3</x:v>
      </x:c>
      <x:c r="C8" s="12" t="str">
        <x:v>Any taxes withheld?</x:v>
      </x:c>
      <x:c r="D8" s="12" t="str">
        <x:v>Payroll / filing</x:v>
      </x:c>
      <x:c r="E8" s="12" t="str">
        <x:v>Withholding detail</x:v>
      </x:c>
      <x:c r="F8" s="12" t="str">
        <x:v>Confirm zero payroll vs no withholding</x:v>
      </x:c>
      <x:c r="G8" s="12" t="str">
        <x:v>Return</x:v>
      </x:c>
      <x:c r="H8" s="12" t="str">
        <x:v>Specified</x:v>
      </x:c>
    </x:row>
    <x:row r="9" ht="46" customHeight="1">
      <x:c r="A9" s="15" t="str">
        <x:v>Header</x:v>
      </x:c>
      <x:c r="B9" s="15" t="str">
        <x:v>H.4</x:v>
      </x:c>
      <x:c r="C9" s="15" t="str">
        <x:v>Number of sheets attached</x:v>
      </x:c>
      <x:c r="D9" s="15" t="str">
        <x:v>Filing</x:v>
      </x:c>
      <x:c r="E9" s="15" t="str">
        <x:v>Attachment records</x:v>
      </x:c>
      <x:c r="F9" s="15" t="str">
        <x:v>Count submitted</x:v>
      </x:c>
      <x:c r="G9" s="15" t="str">
        <x:v>Return</x:v>
      </x:c>
      <x:c r="H9" s="15" t="str">
        <x:v>Specified</x:v>
      </x:c>
    </x:row>
    <x:row r="10" ht="46" customHeight="1">
      <x:c r="A10" s="12" t="str">
        <x:v>Header</x:v>
      </x:c>
      <x:c r="B10" s="12" t="str">
        <x:v>H.5</x:v>
      </x:c>
      <x:c r="C10" s="12" t="str">
        <x:v>ATC</x:v>
      </x:c>
      <x:c r="D10" s="12" t="str">
        <x:v>Reference</x:v>
      </x:c>
      <x:c r="E10" s="12" t="str">
        <x:v>WW010</x:v>
      </x:c>
      <x:c r="F10" s="12" t="str">
        <x:v>Compensation withholding</x:v>
      </x:c>
      <x:c r="G10" s="12" t="str">
        <x:v>Return</x:v>
      </x:c>
      <x:c r="H10" s="12" t="str">
        <x:v>Specified</x:v>
      </x:c>
    </x:row>
    <x:row r="11" ht="46" customHeight="1">
      <x:c r="A11" s="15" t="str">
        <x:v>I</x:v>
      </x:c>
      <x:c r="B11" s="15" t="str">
        <x:v>I.6</x:v>
      </x:c>
      <x:c r="C11" s="15" t="str">
        <x:v>Taxpayer identification number</x:v>
      </x:c>
      <x:c r="D11" s="15" t="str">
        <x:v>Profile</x:v>
      </x:c>
      <x:c r="E11" s="15" t="str">
        <x:v>org_tax_profiles.tin + branchCode</x:v>
      </x:c>
      <x:c r="F11" s="15" t="str">
        <x:v>Employer / withholding agent</x:v>
      </x:c>
      <x:c r="G11" s="15" t="str">
        <x:v>Return</x:v>
      </x:c>
      <x:c r="H11" s="15" t="str">
        <x:v>Specified</x:v>
      </x:c>
    </x:row>
    <x:row r="12" ht="46" customHeight="1">
      <x:c r="A12" s="12" t="str">
        <x:v>I</x:v>
      </x:c>
      <x:c r="B12" s="12" t="str">
        <x:v>I.7</x:v>
      </x:c>
      <x:c r="C12" s="12" t="str">
        <x:v>RDO code</x:v>
      </x:c>
      <x:c r="D12" s="12" t="str">
        <x:v>Profile</x:v>
      </x:c>
      <x:c r="E12" s="12" t="str">
        <x:v>org_tax_profiles.rdoCode</x:v>
      </x:c>
      <x:c r="F12" s="12" t="str">
        <x:v>Employer registration</x:v>
      </x:c>
      <x:c r="G12" s="12" t="str">
        <x:v>Return</x:v>
      </x:c>
      <x:c r="H12" s="12" t="str">
        <x:v>Specified</x:v>
      </x:c>
    </x:row>
    <x:row r="13" ht="46" customHeight="1">
      <x:c r="A13" s="15" t="str">
        <x:v>I</x:v>
      </x:c>
      <x:c r="B13" s="15" t="str">
        <x:v>I.8</x:v>
      </x:c>
      <x:c r="C13" s="15" t="str">
        <x:v>Withholding agent name</x:v>
      </x:c>
      <x:c r="D13" s="15" t="str">
        <x:v>Profile</x:v>
      </x:c>
      <x:c r="E13" s="15" t="str">
        <x:v>registeredName</x:v>
      </x:c>
      <x:c r="F13" s="15" t="str">
        <x:v>Employer, not employee</x:v>
      </x:c>
      <x:c r="G13" s="15" t="str">
        <x:v>Return</x:v>
      </x:c>
      <x:c r="H13" s="15" t="str">
        <x:v>Specified</x:v>
      </x:c>
    </x:row>
    <x:row r="14" ht="46" customHeight="1">
      <x:c r="A14" s="12" t="str">
        <x:v>I</x:v>
      </x:c>
      <x:c r="B14" s="12" t="str">
        <x:v>I.9</x:v>
      </x:c>
      <x:c r="C14" s="12" t="str">
        <x:v>Registered address</x:v>
      </x:c>
      <x:c r="D14" s="12" t="str">
        <x:v>Profile</x:v>
      </x:c>
      <x:c r="E14" s="12" t="str">
        <x:v>Registered / branch address</x:v>
      </x:c>
      <x:c r="F14" s="12" t="str">
        <x:v>Employer filing identity</x:v>
      </x:c>
      <x:c r="G14" s="12" t="str">
        <x:v>Return</x:v>
      </x:c>
      <x:c r="H14" s="12" t="str">
        <x:v>Specified</x:v>
      </x:c>
    </x:row>
    <x:row r="15" ht="46" customHeight="1">
      <x:c r="A15" s="15" t="str">
        <x:v>I</x:v>
      </x:c>
      <x:c r="B15" s="15" t="str">
        <x:v>I.9A</x:v>
      </x:c>
      <x:c r="C15" s="15" t="str">
        <x:v>ZIP code</x:v>
      </x:c>
      <x:c r="D15" s="15" t="str">
        <x:v>Profile</x:v>
      </x:c>
      <x:c r="E15" s="15" t="str">
        <x:v>Address data</x:v>
      </x:c>
      <x:c r="F15" s="15" t="str">
        <x:v>Text identifier</x:v>
      </x:c>
      <x:c r="G15" s="15" t="str">
        <x:v>Return</x:v>
      </x:c>
      <x:c r="H15" s="15" t="str">
        <x:v>Specified</x:v>
      </x:c>
    </x:row>
    <x:row r="16" ht="46" customHeight="1">
      <x:c r="A16" s="12" t="str">
        <x:v>I</x:v>
      </x:c>
      <x:c r="B16" s="12" t="str">
        <x:v>I.10</x:v>
      </x:c>
      <x:c r="C16" s="12" t="str">
        <x:v>Contact number</x:v>
      </x:c>
      <x:c r="D16" s="12" t="str">
        <x:v>Profile</x:v>
      </x:c>
      <x:c r="E16" s="12" t="str">
        <x:v>Contact data</x:v>
      </x:c>
      <x:c r="F16" s="12" t="str">
        <x:v>Not an account</x:v>
      </x:c>
      <x:c r="G16" s="12" t="str">
        <x:v>Return</x:v>
      </x:c>
      <x:c r="H16" s="12" t="str">
        <x:v>Specified</x:v>
      </x:c>
    </x:row>
    <x:row r="17" ht="46" customHeight="1">
      <x:c r="A17" s="15" t="str">
        <x:v>I</x:v>
      </x:c>
      <x:c r="B17" s="15" t="str">
        <x:v>I.11</x:v>
      </x:c>
      <x:c r="C17" s="15" t="str">
        <x:v>Category of withholding agent</x:v>
      </x:c>
      <x:c r="D17" s="15" t="str">
        <x:v>Profile</x:v>
      </x:c>
      <x:c r="E17" s="15" t="str">
        <x:v>Private / Government</x:v>
      </x:c>
      <x:c r="F17" s="15" t="str">
        <x:v>Employer classification</x:v>
      </x:c>
      <x:c r="G17" s="15" t="str">
        <x:v>Return</x:v>
      </x:c>
      <x:c r="H17" s="15" t="str">
        <x:v>Specified</x:v>
      </x:c>
    </x:row>
    <x:row r="18" ht="46" customHeight="1">
      <x:c r="A18" s="12" t="str">
        <x:v>I</x:v>
      </x:c>
      <x:c r="B18" s="12" t="str">
        <x:v>I.12</x:v>
      </x:c>
      <x:c r="C18" s="12" t="str">
        <x:v>Email address</x:v>
      </x:c>
      <x:c r="D18" s="12" t="str">
        <x:v>Profile</x:v>
      </x:c>
      <x:c r="E18" s="12" t="str">
        <x:v>Contact data</x:v>
      </x:c>
      <x:c r="F18" s="12" t="str">
        <x:v>Not an account</x:v>
      </x:c>
      <x:c r="G18" s="12" t="str">
        <x:v>Return</x:v>
      </x:c>
      <x:c r="H18" s="12" t="str">
        <x:v>Specified</x:v>
      </x:c>
    </x:row>
    <x:row r="19" ht="46" customHeight="1">
      <x:c r="A19" s="15" t="str">
        <x:v>I</x:v>
      </x:c>
      <x:c r="B19" s="15" t="str">
        <x:v>I.13</x:v>
      </x:c>
      <x:c r="C19" s="15" t="str">
        <x:v>Payees with relief under law / treaty?</x:v>
      </x:c>
      <x:c r="D19" s="15" t="str">
        <x:v>Payroll + profile</x:v>
      </x:c>
      <x:c r="E19" s="15" t="str">
        <x:v>Per-employee tax relief</x:v>
      </x:c>
      <x:c r="F19" s="15" t="str">
        <x:v>Check eligible payees</x:v>
      </x:c>
      <x:c r="G19" s="15" t="str">
        <x:v>Return</x:v>
      </x:c>
      <x:c r="H19" s="15" t="str">
        <x:v>Specified</x:v>
      </x:c>
    </x:row>
    <x:row r="20" ht="46" customHeight="1">
      <x:c r="A20" s="12" t="str">
        <x:v>I</x:v>
      </x:c>
      <x:c r="B20" s="12" t="str">
        <x:v>I.13A</x:v>
      </x:c>
      <x:c r="C20" s="12" t="str">
        <x:v>Specify relief</x:v>
      </x:c>
      <x:c r="D20" s="12" t="str">
        <x:v>Manual review</x:v>
      </x:c>
      <x:c r="E20" s="12" t="str">
        <x:v>Relief authority</x:v>
      </x:c>
      <x:c r="F20" s="12" t="str">
        <x:v>When applicable</x:v>
      </x:c>
      <x:c r="G20" s="12" t="str">
        <x:v>Return</x:v>
      </x:c>
      <x:c r="H20" s="12" t="str">
        <x:v>Specified</x:v>
      </x:c>
    </x:row>
    <x:row r="21" ht="46" customHeight="1">
      <x:c r="A21" s="15" t="str">
        <x:v>II</x:v>
      </x:c>
      <x:c r="B21" s="15" t="str">
        <x:v>II.14</x:v>
      </x:c>
      <x:c r="C21" s="15" t="str">
        <x:v>Total amount of compensation</x:v>
      </x:c>
      <x:c r="D21" s="15" t="str">
        <x:v>Payroll</x:v>
      </x:c>
      <x:c r="E21" s="15" t="str">
        <x:v>Gross per employee before employee deductions</x:v>
      </x:c>
      <x:c r="F21" s="15" t="str">
        <x:v>Include all appropriate compensation; no employer contribution expense</x:v>
      </x:c>
      <x:c r="G21" s="15" t="str">
        <x:v>Return</x:v>
      </x:c>
      <x:c r="H21" s="15" t="str">
        <x:v>Specified</x:v>
      </x:c>
    </x:row>
    <x:row r="22" ht="46" customHeight="1">
      <x:c r="A22" s="12" t="str">
        <x:v>II</x:v>
      </x:c>
      <x:c r="B22" s="12" t="str">
        <x:v>II.15</x:v>
      </x:c>
      <x:c r="C22" s="12" t="str">
        <x:v>Statutory minimum wage for MWEs</x:v>
      </x:c>
      <x:c r="D22" s="12" t="str">
        <x:v>Payroll</x:v>
      </x:c>
      <x:c r="E22" s="12" t="str">
        <x:v>basicSalaryMwe</x:v>
      </x:c>
      <x:c r="F22" s="12" t="str">
        <x:v>Minimum-wage-earner qualification</x:v>
      </x:c>
      <x:c r="G22" s="12" t="str">
        <x:v>Return</x:v>
      </x:c>
      <x:c r="H22" s="12" t="str">
        <x:v>Specified</x:v>
      </x:c>
    </x:row>
    <x:row r="23" ht="46" customHeight="1">
      <x:c r="A23" s="15" t="str">
        <x:v>II</x:v>
      </x:c>
      <x:c r="B23" s="15" t="str">
        <x:v>II.16</x:v>
      </x:c>
      <x:c r="C23" s="15" t="str">
        <x:v>MWE holiday / overtime / night / hazard pay</x:v>
      </x:c>
      <x:c r="D23" s="15" t="str">
        <x:v>Payroll</x:v>
      </x:c>
      <x:c r="E23" s="15" t="str">
        <x:v>holidayPayMwe + overtimePayMwe + nightShiftDifferentialMwe + hazardPayMwe</x:v>
      </x:c>
      <x:c r="F23" s="15" t="str">
        <x:v>Qualified MWE components only</x:v>
      </x:c>
      <x:c r="G23" s="15" t="str">
        <x:v>Return</x:v>
      </x:c>
      <x:c r="H23" s="15" t="str">
        <x:v>Specified</x:v>
      </x:c>
    </x:row>
    <x:row r="24" ht="46" customHeight="1">
      <x:c r="A24" s="12" t="str">
        <x:v>II</x:v>
      </x:c>
      <x:c r="B24" s="12" t="str">
        <x:v>II.17</x:v>
      </x:c>
      <x:c r="C24" s="12" t="str">
        <x:v>13th month pay and other benefits</x:v>
      </x:c>
      <x:c r="D24" s="12" t="str">
        <x:v>Payroll + tax rules</x:v>
      </x:c>
      <x:c r="E24" s="12" t="str">
        <x:v>Exempt portion of thirteenthMonthAndOtherBenefits</x:v>
      </x:c>
      <x:c r="F24" s="12" t="str">
        <x:v>Apply annual limit / YTD and payroll segregation</x:v>
      </x:c>
      <x:c r="G24" s="12" t="str">
        <x:v>Return</x:v>
      </x:c>
      <x:c r="H24" s="12" t="str">
        <x:v>Specified</x:v>
      </x:c>
    </x:row>
    <x:row r="25" ht="46" customHeight="1">
      <x:c r="A25" s="15" t="str">
        <x:v>II</x:v>
      </x:c>
      <x:c r="B25" s="15" t="str">
        <x:v>II.18</x:v>
      </x:c>
      <x:c r="C25" s="15" t="str">
        <x:v>De minimis benefits</x:v>
      </x:c>
      <x:c r="D25" s="15" t="str">
        <x:v>Payroll + tax rules</x:v>
      </x:c>
      <x:c r="E25" s="15" t="str">
        <x:v>Exempt deMinimisBenefits by type</x:v>
      </x:c>
      <x:c r="F25" s="15" t="str">
        <x:v>Apply each benefit rule and ceiling</x:v>
      </x:c>
      <x:c r="G25" s="15" t="str">
        <x:v>Return</x:v>
      </x:c>
      <x:c r="H25" s="15" t="str">
        <x:v>Specified</x:v>
      </x:c>
    </x:row>
    <x:row r="26" ht="46" customHeight="1">
      <x:c r="A26" s="12" t="str">
        <x:v>II</x:v>
      </x:c>
      <x:c r="B26" s="12" t="str">
        <x:v>II.19</x:v>
      </x:c>
      <x:c r="C26" s="12" t="str">
        <x:v>Mandatory contributions and union dues, employee share only</x:v>
      </x:c>
      <x:c r="D26" s="12" t="str">
        <x:v>Payroll</x:v>
      </x:c>
      <x:c r="E26" s="12" t="str">
        <x:v>sssEmployeeShare + philHealthEmployeeShare + pagIbigEmployeeShare + unionDues; GSIS if applicable</x:v>
      </x:c>
      <x:c r="F26" s="12" t="str">
        <x:v>Employee portion only; payable account also contains employer share</x:v>
      </x:c>
      <x:c r="G26" s="12" t="str">
        <x:v>Return</x:v>
      </x:c>
      <x:c r="H26" s="12" t="str">
        <x:v>Specified</x:v>
      </x:c>
    </x:row>
    <x:row r="27" ht="46" customHeight="1">
      <x:c r="A27" s="15" t="str">
        <x:v>II</x:v>
      </x:c>
      <x:c r="B27" s="15" t="str">
        <x:v>II.20</x:v>
      </x:c>
      <x:c r="C27" s="15" t="str">
        <x:v>Other non-taxable compensation + description</x:v>
      </x:c>
      <x:c r="D27" s="15" t="str">
        <x:v>Payroll + manual</x:v>
      </x:c>
      <x:c r="E27" s="15" t="str">
        <x:v>otherExempt and eligible other exemptions</x:v>
      </x:c>
      <x:c r="F27" s="15" t="str">
        <x:v>Do not repeat benefits already included above</x:v>
      </x:c>
      <x:c r="G27" s="15" t="str">
        <x:v>Return</x:v>
      </x:c>
      <x:c r="H27" s="15" t="str">
        <x:v>Specified</x:v>
      </x:c>
    </x:row>
    <x:row r="28" ht="46" customHeight="1">
      <x:c r="A28" s="12" t="str">
        <x:v>II</x:v>
      </x:c>
      <x:c r="B28" s="12" t="str">
        <x:v>II.21</x:v>
      </x:c>
      <x:c r="C28" s="12" t="str">
        <x:v>Total non-taxable compensation</x:v>
      </x:c>
      <x:c r="D28" s="12" t="str">
        <x:v>Calculated</x:v>
      </x:c>
      <x:c r="E28" s="12" t="str">
        <x:v>Sum II.15 through II.20</x:v>
      </x:c>
      <x:c r="F28" s="12" t="str">
        <x:v>Ensure categories are mutually exclusive</x:v>
      </x:c>
      <x:c r="G28" s="12" t="str">
        <x:v>Return</x:v>
      </x:c>
      <x:c r="H28" s="12" t="str">
        <x:v>Specified</x:v>
      </x:c>
    </x:row>
    <x:row r="29" ht="46" customHeight="1">
      <x:c r="A29" s="15" t="str">
        <x:v>II</x:v>
      </x:c>
      <x:c r="B29" s="15" t="str">
        <x:v>II.22</x:v>
      </x:c>
      <x:c r="C29" s="15" t="str">
        <x:v>Total taxable compensation</x:v>
      </x:c>
      <x:c r="D29" s="15" t="str">
        <x:v>Calculated</x:v>
      </x:c>
      <x:c r="E29" s="15" t="str">
        <x:v>II.14 - II.21</x:v>
      </x:c>
      <x:c r="F29" s="15" t="str">
        <x:v>Do not omit employee contributions</x:v>
      </x:c>
      <x:c r="G29" s="15" t="str">
        <x:v>Return</x:v>
      </x:c>
      <x:c r="H29" s="15" t="str">
        <x:v>Specified</x:v>
      </x:c>
    </x:row>
    <x:row r="30" ht="46" customHeight="1">
      <x:c r="A30" s="12" t="str">
        <x:v>II</x:v>
      </x:c>
      <x:c r="B30" s="12" t="str">
        <x:v>II.23</x:v>
      </x:c>
      <x:c r="C30" s="12" t="str">
        <x:v>Taxable compensation not subject to withholding</x:v>
      </x:c>
      <x:c r="D30" s="12" t="str">
        <x:v>Payroll + tax rules</x:v>
      </x:c>
      <x:c r="E30" s="12" t="str">
        <x:v>Employee-specific qualifying amount</x:v>
      </x:c>
      <x:c r="F30" s="12" t="str">
        <x:v>For specified non-MWE employees at/below annual threshold; verify current instructions</x:v>
      </x:c>
      <x:c r="G30" s="12" t="str">
        <x:v>Return</x:v>
      </x:c>
      <x:c r="H30" s="12" t="str">
        <x:v>Specified</x:v>
      </x:c>
    </x:row>
    <x:row r="31" ht="46" customHeight="1">
      <x:c r="A31" s="15" t="str">
        <x:v>II</x:v>
      </x:c>
      <x:c r="B31" s="15" t="str">
        <x:v>II.24</x:v>
      </x:c>
      <x:c r="C31" s="15" t="str">
        <x:v>Net taxable compensation</x:v>
      </x:c>
      <x:c r="D31" s="15" t="str">
        <x:v>Calculated</x:v>
      </x:c>
      <x:c r="E31" s="15" t="str">
        <x:v>II.22 - II.23</x:v>
      </x:c>
      <x:c r="F31" s="15" t="str">
        <x:v>Review employee classification</x:v>
      </x:c>
      <x:c r="G31" s="15" t="str">
        <x:v>Return</x:v>
      </x:c>
      <x:c r="H31" s="15" t="str">
        <x:v>Specified</x:v>
      </x:c>
    </x:row>
    <x:row r="32" ht="46" customHeight="1">
      <x:c r="A32" s="12" t="str">
        <x:v>II</x:v>
      </x:c>
      <x:c r="B32" s="12" t="str">
        <x:v>II.25</x:v>
      </x:c>
      <x:c r="C32" s="12" t="str">
        <x:v>Total taxes withheld</x:v>
      </x:c>
      <x:c r="D32" s="12" t="str">
        <x:v>Payroll</x:v>
      </x:c>
      <x:c r="E32" s="12" t="str">
        <x:v>Sum reported employee tax withheld for month</x:v>
      </x:c>
      <x:c r="F32" s="12" t="str">
        <x:v>Reconcile gross payroll posting with ph_wtc_payable</x:v>
      </x:c>
      <x:c r="G32" s="12" t="str">
        <x:v>Return</x:v>
      </x:c>
      <x:c r="H32" s="12" t="str">
        <x:v>Specified</x:v>
      </x:c>
    </x:row>
    <x:row r="33" ht="46" customHeight="1">
      <x:c r="A33" s="15" t="str">
        <x:v>II</x:v>
      </x:c>
      <x:c r="B33" s="15" t="str">
        <x:v>II.26</x:v>
      </x:c>
      <x:c r="C33" s="15" t="str">
        <x:v>Adjustment from previous months</x:v>
      </x:c>
      <x:c r="D33" s="15" t="str">
        <x:v>Return schedule</x:v>
      </x:c>
      <x:c r="E33" s="15" t="str">
        <x:v>S1.4</x:v>
      </x:c>
      <x:c r="F33" s="15" t="str">
        <x:v>Signed adjustment</x:v>
      </x:c>
      <x:c r="G33" s="15" t="str">
        <x:v>Return</x:v>
      </x:c>
      <x:c r="H33" s="15" t="str">
        <x:v>Specified</x:v>
      </x:c>
    </x:row>
    <x:row r="34" ht="46" customHeight="1">
      <x:c r="A34" s="12" t="str">
        <x:v>II</x:v>
      </x:c>
      <x:c r="B34" s="12" t="str">
        <x:v>II.27</x:v>
      </x:c>
      <x:c r="C34" s="12" t="str">
        <x:v>Taxes withheld for remittance</x:v>
      </x:c>
      <x:c r="D34" s="12" t="str">
        <x:v>Calculated</x:v>
      </x:c>
      <x:c r="E34" s="12" t="str">
        <x:v>II.25 + II.26</x:v>
      </x:c>
      <x:c r="F34" s="12" t="str">
        <x:v>Includes adjustments</x:v>
      </x:c>
      <x:c r="G34" s="12" t="str">
        <x:v>Return</x:v>
      </x:c>
      <x:c r="H34" s="12" t="str">
        <x:v>Specified</x:v>
      </x:c>
    </x:row>
    <x:row r="35" ht="46" customHeight="1">
      <x:c r="A35" s="15" t="str">
        <x:v>II</x:v>
      </x:c>
      <x:c r="B35" s="15" t="str">
        <x:v>II.28</x:v>
      </x:c>
      <x:c r="C35" s="15" t="str">
        <x:v>Previously remitted in amended return</x:v>
      </x:c>
      <x:c r="D35" s="15" t="str">
        <x:v>Filing payment</x:v>
      </x:c>
      <x:c r="E35" s="15" t="str">
        <x:v>Prior 1601-C payment</x:v>
      </x:c>
      <x:c r="F35" s="15" t="str">
        <x:v>Amended return only</x:v>
      </x:c>
      <x:c r="G35" s="15" t="str">
        <x:v>Return</x:v>
      </x:c>
      <x:c r="H35" s="15" t="str">
        <x:v>Specified</x:v>
      </x:c>
    </x:row>
    <x:row r="36" ht="46" customHeight="1">
      <x:c r="A36" s="12" t="str">
        <x:v>II</x:v>
      </x:c>
      <x:c r="B36" s="12" t="str">
        <x:v>II.29</x:v>
      </x:c>
      <x:c r="C36" s="12" t="str">
        <x:v>Other remittances + description</x:v>
      </x:c>
      <x:c r="D36" s="12" t="str">
        <x:v>Payment</x:v>
      </x:c>
      <x:c r="E36" s="12" t="str">
        <x:v>Eligible prior remittance</x:v>
      </x:c>
      <x:c r="F36" s="12" t="str">
        <x:v>Evidence required</x:v>
      </x:c>
      <x:c r="G36" s="12" t="str">
        <x:v>Return</x:v>
      </x:c>
      <x:c r="H36" s="12" t="str">
        <x:v>Specified</x:v>
      </x:c>
    </x:row>
    <x:row r="37" ht="46" customHeight="1">
      <x:c r="A37" s="15" t="str">
        <x:v>II</x:v>
      </x:c>
      <x:c r="B37" s="15" t="str">
        <x:v>II.30</x:v>
      </x:c>
      <x:c r="C37" s="15" t="str">
        <x:v>Total remittances made</x:v>
      </x:c>
      <x:c r="D37" s="15" t="str">
        <x:v>Calculated</x:v>
      </x:c>
      <x:c r="E37" s="15" t="str">
        <x:v>II.28 + II.29</x:v>
      </x:c>
      <x:c r="F37" s="15" t="str">
        <x:v>Keep amounts separate</x:v>
      </x:c>
      <x:c r="G37" s="15" t="str">
        <x:v>Return</x:v>
      </x:c>
      <x:c r="H37" s="15" t="str">
        <x:v>Specified</x:v>
      </x:c>
    </x:row>
    <x:row r="38" ht="46" customHeight="1">
      <x:c r="A38" s="12" t="str">
        <x:v>II</x:v>
      </x:c>
      <x:c r="B38" s="12" t="str">
        <x:v>II.31</x:v>
      </x:c>
      <x:c r="C38" s="12" t="str">
        <x:v>Tax still due / overremittance</x:v>
      </x:c>
      <x:c r="D38" s="12" t="str">
        <x:v>Calculated</x:v>
      </x:c>
      <x:c r="E38" s="12" t="str">
        <x:v>II.27 - II.30</x:v>
      </x:c>
      <x:c r="F38" s="12" t="str">
        <x:v>Preserve sign</x:v>
      </x:c>
      <x:c r="G38" s="12" t="str">
        <x:v>Return</x:v>
      </x:c>
      <x:c r="H38" s="12" t="str">
        <x:v>Specified</x:v>
      </x:c>
    </x:row>
    <x:row r="39" ht="46" customHeight="1">
      <x:c r="A39" s="15" t="str">
        <x:v>II</x:v>
      </x:c>
      <x:c r="B39" s="15" t="str">
        <x:v>II.32</x:v>
      </x:c>
      <x:c r="C39" s="15" t="str">
        <x:v>Surcharge</x:v>
      </x:c>
      <x:c r="D39" s="15" t="str">
        <x:v>Manual review</x:v>
      </x:c>
      <x:c r="E39" s="15" t="str">
        <x:v>Penalty assessment</x:v>
      </x:c>
      <x:c r="F39" s="15" t="str">
        <x:v>Not salary</x:v>
      </x:c>
      <x:c r="G39" s="15" t="str">
        <x:v>Return</x:v>
      </x:c>
      <x:c r="H39" s="15" t="str">
        <x:v>Specified</x:v>
      </x:c>
    </x:row>
    <x:row r="40" ht="46" customHeight="1">
      <x:c r="A40" s="12" t="str">
        <x:v>II</x:v>
      </x:c>
      <x:c r="B40" s="12" t="str">
        <x:v>II.33</x:v>
      </x:c>
      <x:c r="C40" s="12" t="str">
        <x:v>Interest</x:v>
      </x:c>
      <x:c r="D40" s="12" t="str">
        <x:v>Manual review</x:v>
      </x:c>
      <x:c r="E40" s="12" t="str">
        <x:v>Penalty assessment</x:v>
      </x:c>
      <x:c r="F40" s="12" t="str">
        <x:v>Not salary</x:v>
      </x:c>
      <x:c r="G40" s="12" t="str">
        <x:v>Return</x:v>
      </x:c>
      <x:c r="H40" s="12" t="str">
        <x:v>Specified</x:v>
      </x:c>
    </x:row>
    <x:row r="41" ht="46" customHeight="1">
      <x:c r="A41" s="15" t="str">
        <x:v>II</x:v>
      </x:c>
      <x:c r="B41" s="15" t="str">
        <x:v>II.34</x:v>
      </x:c>
      <x:c r="C41" s="15" t="str">
        <x:v>Compromise</x:v>
      </x:c>
      <x:c r="D41" s="15" t="str">
        <x:v>Manual review</x:v>
      </x:c>
      <x:c r="E41" s="15" t="str">
        <x:v>Penalty assessment</x:v>
      </x:c>
      <x:c r="F41" s="15" t="str">
        <x:v>Not salary</x:v>
      </x:c>
      <x:c r="G41" s="15" t="str">
        <x:v>Return</x:v>
      </x:c>
      <x:c r="H41" s="15" t="str">
        <x:v>Specified</x:v>
      </x:c>
    </x:row>
    <x:row r="42" ht="46" customHeight="1">
      <x:c r="A42" s="12" t="str">
        <x:v>II</x:v>
      </x:c>
      <x:c r="B42" s="12" t="str">
        <x:v>II.35</x:v>
      </x:c>
      <x:c r="C42" s="12" t="str">
        <x:v>Total penalties</x:v>
      </x:c>
      <x:c r="D42" s="12" t="str">
        <x:v>Calculated</x:v>
      </x:c>
      <x:c r="E42" s="12" t="str">
        <x:v>II.32 + II.33 + II.34</x:v>
      </x:c>
      <x:c r="F42" s="12" t="str"/>
      <x:c r="G42" s="12" t="str">
        <x:v>Return</x:v>
      </x:c>
      <x:c r="H42" s="12" t="str">
        <x:v>Specified</x:v>
      </x:c>
    </x:row>
    <x:row r="43" ht="46" customHeight="1">
      <x:c r="A43" s="15" t="str">
        <x:v>II</x:v>
      </x:c>
      <x:c r="B43" s="15" t="str">
        <x:v>II.36</x:v>
      </x:c>
      <x:c r="C43" s="15" t="str">
        <x:v>Total amount still due / overremittance</x:v>
      </x:c>
      <x:c r="D43" s="15" t="str">
        <x:v>Calculated</x:v>
      </x:c>
      <x:c r="E43" s="15" t="str">
        <x:v>II.31 + II.35</x:v>
      </x:c>
      <x:c r="F43" s="15" t="str">
        <x:v>Preserve sign</x:v>
      </x:c>
      <x:c r="G43" s="15" t="str">
        <x:v>Return</x:v>
      </x:c>
      <x:c r="H43" s="15" t="str">
        <x:v>Specified</x:v>
      </x:c>
    </x:row>
    <x:row r="44" ht="46" customHeight="1">
      <x:c r="A44" s="12" t="str">
        <x:v>III</x:v>
      </x:c>
      <x:c r="B44" s="12" t="str">
        <x:v>III.37.bank</x:v>
      </x:c>
      <x:c r="C44" s="12" t="str">
        <x:v>Cash / bank debit: Drawee bank / agency</x:v>
      </x:c>
      <x:c r="D44" s="12" t="str">
        <x:v>Payment</x:v>
      </x:c>
      <x:c r="E44" s="12" t="str">
        <x:v>Payment evidence</x:v>
      </x:c>
      <x:c r="F44" s="12" t="str">
        <x:v>Record if method 37 is used</x:v>
      </x:c>
      <x:c r="G44" s="12" t="str">
        <x:v>Payment row</x:v>
      </x:c>
      <x:c r="H44" s="12" t="str">
        <x:v>Specified</x:v>
      </x:c>
    </x:row>
    <x:row r="45" ht="46" customHeight="1">
      <x:c r="A45" s="15" t="str">
        <x:v>III</x:v>
      </x:c>
      <x:c r="B45" s="15" t="str">
        <x:v>III.37.number</x:v>
      </x:c>
      <x:c r="C45" s="15" t="str">
        <x:v>Cash / bank debit: Reference number</x:v>
      </x:c>
      <x:c r="D45" s="15" t="str">
        <x:v>Payment</x:v>
      </x:c>
      <x:c r="E45" s="15" t="str">
        <x:v>Payment evidence</x:v>
      </x:c>
      <x:c r="F45" s="15" t="str">
        <x:v>Record if method 37 is used</x:v>
      </x:c>
      <x:c r="G45" s="15" t="str">
        <x:v>Payment row</x:v>
      </x:c>
      <x:c r="H45" s="15" t="str">
        <x:v>Specified</x:v>
      </x:c>
    </x:row>
    <x:row r="46" ht="46" customHeight="1">
      <x:c r="A46" s="12" t="str">
        <x:v>III</x:v>
      </x:c>
      <x:c r="B46" s="12" t="str">
        <x:v>III.37.date</x:v>
      </x:c>
      <x:c r="C46" s="12" t="str">
        <x:v>Cash / bank debit: Payment date</x:v>
      </x:c>
      <x:c r="D46" s="12" t="str">
        <x:v>Payment</x:v>
      </x:c>
      <x:c r="E46" s="12" t="str">
        <x:v>Payment evidence</x:v>
      </x:c>
      <x:c r="F46" s="12" t="str">
        <x:v>Record if method 37 is used</x:v>
      </x:c>
      <x:c r="G46" s="12" t="str">
        <x:v>Payment row</x:v>
      </x:c>
      <x:c r="H46" s="12" t="str">
        <x:v>Specified</x:v>
      </x:c>
    </x:row>
    <x:row r="47" ht="46" customHeight="1">
      <x:c r="A47" s="15" t="str">
        <x:v>III</x:v>
      </x:c>
      <x:c r="B47" s="15" t="str">
        <x:v>III.37.amount</x:v>
      </x:c>
      <x:c r="C47" s="15" t="str">
        <x:v>Cash / bank debit: Amount</x:v>
      </x:c>
      <x:c r="D47" s="15" t="str">
        <x:v>Payment</x:v>
      </x:c>
      <x:c r="E47" s="15" t="str">
        <x:v>Payment evidence</x:v>
      </x:c>
      <x:c r="F47" s="15" t="str">
        <x:v>Record if method 37 is used</x:v>
      </x:c>
      <x:c r="G47" s="15" t="str">
        <x:v>Payment row</x:v>
      </x:c>
      <x:c r="H47" s="15" t="str">
        <x:v>Specified</x:v>
      </x:c>
    </x:row>
    <x:row r="48" ht="46" customHeight="1">
      <x:c r="A48" s="12" t="str">
        <x:v>III</x:v>
      </x:c>
      <x:c r="B48" s="12" t="str">
        <x:v>III.38.bank</x:v>
      </x:c>
      <x:c r="C48" s="12" t="str">
        <x:v>Check: Drawee bank / agency</x:v>
      </x:c>
      <x:c r="D48" s="12" t="str">
        <x:v>Payment</x:v>
      </x:c>
      <x:c r="E48" s="12" t="str">
        <x:v>Payment evidence</x:v>
      </x:c>
      <x:c r="F48" s="12" t="str">
        <x:v>Record if method 38 is used</x:v>
      </x:c>
      <x:c r="G48" s="12" t="str">
        <x:v>Payment row</x:v>
      </x:c>
      <x:c r="H48" s="12" t="str">
        <x:v>Specified</x:v>
      </x:c>
    </x:row>
    <x:row r="49" ht="46" customHeight="1">
      <x:c r="A49" s="15" t="str">
        <x:v>III</x:v>
      </x:c>
      <x:c r="B49" s="15" t="str">
        <x:v>III.38.number</x:v>
      </x:c>
      <x:c r="C49" s="15" t="str">
        <x:v>Check: Reference number</x:v>
      </x:c>
      <x:c r="D49" s="15" t="str">
        <x:v>Payment</x:v>
      </x:c>
      <x:c r="E49" s="15" t="str">
        <x:v>Payment evidence</x:v>
      </x:c>
      <x:c r="F49" s="15" t="str">
        <x:v>Record if method 38 is used</x:v>
      </x:c>
      <x:c r="G49" s="15" t="str">
        <x:v>Payment row</x:v>
      </x:c>
      <x:c r="H49" s="15" t="str">
        <x:v>Specified</x:v>
      </x:c>
    </x:row>
    <x:row r="50" ht="46" customHeight="1">
      <x:c r="A50" s="12" t="str">
        <x:v>III</x:v>
      </x:c>
      <x:c r="B50" s="12" t="str">
        <x:v>III.38.date</x:v>
      </x:c>
      <x:c r="C50" s="12" t="str">
        <x:v>Check: Payment date</x:v>
      </x:c>
      <x:c r="D50" s="12" t="str">
        <x:v>Payment</x:v>
      </x:c>
      <x:c r="E50" s="12" t="str">
        <x:v>Payment evidence</x:v>
      </x:c>
      <x:c r="F50" s="12" t="str">
        <x:v>Record if method 38 is used</x:v>
      </x:c>
      <x:c r="G50" s="12" t="str">
        <x:v>Payment row</x:v>
      </x:c>
      <x:c r="H50" s="12" t="str">
        <x:v>Specified</x:v>
      </x:c>
    </x:row>
    <x:row r="51" ht="46" customHeight="1">
      <x:c r="A51" s="15" t="str">
        <x:v>III</x:v>
      </x:c>
      <x:c r="B51" s="15" t="str">
        <x:v>III.38.amount</x:v>
      </x:c>
      <x:c r="C51" s="15" t="str">
        <x:v>Check: Amount</x:v>
      </x:c>
      <x:c r="D51" s="15" t="str">
        <x:v>Payment</x:v>
      </x:c>
      <x:c r="E51" s="15" t="str">
        <x:v>Payment evidence</x:v>
      </x:c>
      <x:c r="F51" s="15" t="str">
        <x:v>Record if method 38 is used</x:v>
      </x:c>
      <x:c r="G51" s="15" t="str">
        <x:v>Payment row</x:v>
      </x:c>
      <x:c r="H51" s="15" t="str">
        <x:v>Specified</x:v>
      </x:c>
    </x:row>
    <x:row r="52" ht="46" customHeight="1">
      <x:c r="A52" s="12" t="str">
        <x:v>III</x:v>
      </x:c>
      <x:c r="B52" s="12" t="str">
        <x:v>III.39.bank</x:v>
      </x:c>
      <x:c r="C52" s="12" t="str">
        <x:v>Tax debit memo: Drawee bank / agency</x:v>
      </x:c>
      <x:c r="D52" s="12" t="str">
        <x:v>Payment</x:v>
      </x:c>
      <x:c r="E52" s="12" t="str">
        <x:v>Payment evidence</x:v>
      </x:c>
      <x:c r="F52" s="12" t="str">
        <x:v>Record if method 39 is used</x:v>
      </x:c>
      <x:c r="G52" s="12" t="str">
        <x:v>Payment row</x:v>
      </x:c>
      <x:c r="H52" s="12" t="str">
        <x:v>Specified</x:v>
      </x:c>
    </x:row>
    <x:row r="53" ht="46" customHeight="1">
      <x:c r="A53" s="15" t="str">
        <x:v>III</x:v>
      </x:c>
      <x:c r="B53" s="15" t="str">
        <x:v>III.39.number</x:v>
      </x:c>
      <x:c r="C53" s="15" t="str">
        <x:v>Tax debit memo: Reference number</x:v>
      </x:c>
      <x:c r="D53" s="15" t="str">
        <x:v>Payment</x:v>
      </x:c>
      <x:c r="E53" s="15" t="str">
        <x:v>Payment evidence</x:v>
      </x:c>
      <x:c r="F53" s="15" t="str">
        <x:v>Record if method 39 is used</x:v>
      </x:c>
      <x:c r="G53" s="15" t="str">
        <x:v>Payment row</x:v>
      </x:c>
      <x:c r="H53" s="15" t="str">
        <x:v>Specified</x:v>
      </x:c>
    </x:row>
    <x:row r="54" ht="46" customHeight="1">
      <x:c r="A54" s="12" t="str">
        <x:v>III</x:v>
      </x:c>
      <x:c r="B54" s="12" t="str">
        <x:v>III.39.date</x:v>
      </x:c>
      <x:c r="C54" s="12" t="str">
        <x:v>Tax debit memo: Payment date</x:v>
      </x:c>
      <x:c r="D54" s="12" t="str">
        <x:v>Payment</x:v>
      </x:c>
      <x:c r="E54" s="12" t="str">
        <x:v>Payment evidence</x:v>
      </x:c>
      <x:c r="F54" s="12" t="str">
        <x:v>Record if method 39 is used</x:v>
      </x:c>
      <x:c r="G54" s="12" t="str">
        <x:v>Payment row</x:v>
      </x:c>
      <x:c r="H54" s="12" t="str">
        <x:v>Specified</x:v>
      </x:c>
    </x:row>
    <x:row r="55" ht="46" customHeight="1">
      <x:c r="A55" s="15" t="str">
        <x:v>III</x:v>
      </x:c>
      <x:c r="B55" s="15" t="str">
        <x:v>III.39.amount</x:v>
      </x:c>
      <x:c r="C55" s="15" t="str">
        <x:v>Tax debit memo: Amount</x:v>
      </x:c>
      <x:c r="D55" s="15" t="str">
        <x:v>Payment</x:v>
      </x:c>
      <x:c r="E55" s="15" t="str">
        <x:v>Payment evidence</x:v>
      </x:c>
      <x:c r="F55" s="15" t="str">
        <x:v>Record if method 39 is used</x:v>
      </x:c>
      <x:c r="G55" s="15" t="str">
        <x:v>Payment row</x:v>
      </x:c>
      <x:c r="H55" s="15" t="str">
        <x:v>Specified</x:v>
      </x:c>
    </x:row>
    <x:row r="56" ht="46" customHeight="1">
      <x:c r="A56" s="12" t="str">
        <x:v>III</x:v>
      </x:c>
      <x:c r="B56" s="12" t="str">
        <x:v>III.40.bank</x:v>
      </x:c>
      <x:c r="C56" s="12" t="str">
        <x:v>Other payment: Drawee bank / agency</x:v>
      </x:c>
      <x:c r="D56" s="12" t="str">
        <x:v>Payment</x:v>
      </x:c>
      <x:c r="E56" s="12" t="str">
        <x:v>Payment evidence</x:v>
      </x:c>
      <x:c r="F56" s="12" t="str">
        <x:v>Record if method 40 is used</x:v>
      </x:c>
      <x:c r="G56" s="12" t="str">
        <x:v>Payment row</x:v>
      </x:c>
      <x:c r="H56" s="12" t="str">
        <x:v>Specified</x:v>
      </x:c>
    </x:row>
    <x:row r="57" ht="46" customHeight="1">
      <x:c r="A57" s="15" t="str">
        <x:v>III</x:v>
      </x:c>
      <x:c r="B57" s="15" t="str">
        <x:v>III.40.number</x:v>
      </x:c>
      <x:c r="C57" s="15" t="str">
        <x:v>Other payment: Reference number</x:v>
      </x:c>
      <x:c r="D57" s="15" t="str">
        <x:v>Payment</x:v>
      </x:c>
      <x:c r="E57" s="15" t="str">
        <x:v>Payment evidence</x:v>
      </x:c>
      <x:c r="F57" s="15" t="str">
        <x:v>Record if method 40 is used</x:v>
      </x:c>
      <x:c r="G57" s="15" t="str">
        <x:v>Payment row</x:v>
      </x:c>
      <x:c r="H57" s="15" t="str">
        <x:v>Specified</x:v>
      </x:c>
    </x:row>
    <x:row r="58" ht="46" customHeight="1">
      <x:c r="A58" s="12" t="str">
        <x:v>III</x:v>
      </x:c>
      <x:c r="B58" s="12" t="str">
        <x:v>III.40.date</x:v>
      </x:c>
      <x:c r="C58" s="12" t="str">
        <x:v>Other payment: Payment date</x:v>
      </x:c>
      <x:c r="D58" s="12" t="str">
        <x:v>Payment</x:v>
      </x:c>
      <x:c r="E58" s="12" t="str">
        <x:v>Payment evidence</x:v>
      </x:c>
      <x:c r="F58" s="12" t="str">
        <x:v>Record if method 40 is used</x:v>
      </x:c>
      <x:c r="G58" s="12" t="str">
        <x:v>Payment row</x:v>
      </x:c>
      <x:c r="H58" s="12" t="str">
        <x:v>Specified</x:v>
      </x:c>
    </x:row>
    <x:row r="59" ht="46" customHeight="1">
      <x:c r="A59" s="15" t="str">
        <x:v>III</x:v>
      </x:c>
      <x:c r="B59" s="15" t="str">
        <x:v>III.40.amount</x:v>
      </x:c>
      <x:c r="C59" s="15" t="str">
        <x:v>Other payment: Amount</x:v>
      </x:c>
      <x:c r="D59" s="15" t="str">
        <x:v>Payment</x:v>
      </x:c>
      <x:c r="E59" s="15" t="str">
        <x:v>Payment evidence</x:v>
      </x:c>
      <x:c r="F59" s="15" t="str">
        <x:v>Record if method 40 is used</x:v>
      </x:c>
      <x:c r="G59" s="15" t="str">
        <x:v>Payment row</x:v>
      </x:c>
      <x:c r="H59" s="15" t="str">
        <x:v>Specified</x:v>
      </x:c>
    </x:row>
    <x:row r="60" ht="46" customHeight="1">
      <x:c r="A60" s="12" t="str">
        <x:v>Declaration</x:v>
      </x:c>
      <x:c r="B60" s="12" t="str">
        <x:v>DECL.signature</x:v>
      </x:c>
      <x:c r="C60" s="12" t="str">
        <x:v>Signer, title, TIN, agent credentials and dates</x:v>
      </x:c>
      <x:c r="D60" s="12" t="str">
        <x:v>Human / profile</x:v>
      </x:c>
      <x:c r="E60" s="12" t="str">
        <x:v>Authorized signer and agent</x:v>
      </x:c>
      <x:c r="F60" s="12" t="str">
        <x:v>Declaration requires human action</x:v>
      </x:c>
      <x:c r="G60" s="12" t="str">
        <x:v>Return</x:v>
      </x:c>
      <x:c r="H60" s="12" t="str">
        <x:v>Specified</x:v>
      </x:c>
    </x:row>
    <x:row r="61" ht="46" customHeight="1">
      <x:c r="A61" s="15" t="str">
        <x:v>Payment receipt</x:v>
      </x:c>
      <x:c r="B61" s="15" t="str">
        <x:v>RECEIPT</x:v>
      </x:c>
      <x:c r="C61" s="15" t="str">
        <x:v>Bank / ROR validation and receiving-office stamp</x:v>
      </x:c>
      <x:c r="D61" s="15" t="str">
        <x:v>Evidence</x:v>
      </x:c>
      <x:c r="E61" s="15" t="str">
        <x:v>Filing confirmation</x:v>
      </x:c>
      <x:c r="F61" s="15" t="str">
        <x:v>BIR / bank completion</x:v>
      </x:c>
      <x:c r="G61" s="15" t="str">
        <x:v>Return</x:v>
      </x:c>
      <x:c r="H61" s="15" t="str">
        <x:v>Specified</x:v>
      </x:c>
    </x:row>
    <x:row r="62" ht="46" customHeight="1">
      <x:c r="A62" s="12" t="str">
        <x:v>Schedule 1</x:v>
      </x:c>
      <x:c r="B62" s="12" t="str">
        <x:v>S1.1.1</x:v>
      </x:c>
      <x:c r="C62" s="12" t="str">
        <x:v>Adjustment row 1: Previous month</x:v>
      </x:c>
      <x:c r="D62" s="12" t="str">
        <x:v>Period</x:v>
      </x:c>
      <x:c r="E62" s="12" t="str">
        <x:v>Prior period and payment evidence</x:v>
      </x:c>
      <x:c r="F62" s="12" t="str">
        <x:v>When applicable</x:v>
      </x:c>
      <x:c r="G62" s="12" t="str">
        <x:v>Adjustment row</x:v>
      </x:c>
      <x:c r="H62" s="12" t="str">
        <x:v>Specified</x:v>
      </x:c>
    </x:row>
    <x:row r="63" ht="46" customHeight="1">
      <x:c r="A63" s="15" t="str">
        <x:v>Schedule 1</x:v>
      </x:c>
      <x:c r="B63" s="15" t="str">
        <x:v>S1.1.2</x:v>
      </x:c>
      <x:c r="C63" s="15" t="str">
        <x:v>Adjustment row 1: Date paid</x:v>
      </x:c>
      <x:c r="D63" s="15" t="str">
        <x:v>Payment</x:v>
      </x:c>
      <x:c r="E63" s="15" t="str">
        <x:v>Prior period and payment evidence</x:v>
      </x:c>
      <x:c r="F63" s="15" t="str">
        <x:v>When applicable</x:v>
      </x:c>
      <x:c r="G63" s="15" t="str">
        <x:v>Adjustment row</x:v>
      </x:c>
      <x:c r="H63" s="15" t="str">
        <x:v>Specified</x:v>
      </x:c>
    </x:row>
    <x:row r="64" ht="46" customHeight="1">
      <x:c r="A64" s="12" t="str">
        <x:v>Schedule 1</x:v>
      </x:c>
      <x:c r="B64" s="12" t="str">
        <x:v>S1.1.3</x:v>
      </x:c>
      <x:c r="C64" s="12" t="str">
        <x:v>Adjustment row 1: Drawee bank / code / agency</x:v>
      </x:c>
      <x:c r="D64" s="12" t="str">
        <x:v>Payment</x:v>
      </x:c>
      <x:c r="E64" s="12" t="str">
        <x:v>Prior period and payment evidence</x:v>
      </x:c>
      <x:c r="F64" s="12" t="str">
        <x:v>When applicable</x:v>
      </x:c>
      <x:c r="G64" s="12" t="str">
        <x:v>Adjustment row</x:v>
      </x:c>
      <x:c r="H64" s="12" t="str">
        <x:v>Specified</x:v>
      </x:c>
    </x:row>
    <x:row r="65" ht="46" customHeight="1">
      <x:c r="A65" s="15" t="str">
        <x:v>Schedule 1</x:v>
      </x:c>
      <x:c r="B65" s="15" t="str">
        <x:v>S1.1.4</x:v>
      </x:c>
      <x:c r="C65" s="15" t="str">
        <x:v>Adjustment row 1: Number</x:v>
      </x:c>
      <x:c r="D65" s="15" t="str">
        <x:v>Payment</x:v>
      </x:c>
      <x:c r="E65" s="15" t="str">
        <x:v>Prior period and payment evidence</x:v>
      </x:c>
      <x:c r="F65" s="15" t="str">
        <x:v>When applicable</x:v>
      </x:c>
      <x:c r="G65" s="15" t="str">
        <x:v>Adjustment row</x:v>
      </x:c>
      <x:c r="H65" s="15" t="str">
        <x:v>Specified</x:v>
      </x:c>
    </x:row>
    <x:row r="66" ht="46" customHeight="1">
      <x:c r="A66" s="12" t="str">
        <x:v>Schedule 1</x:v>
      </x:c>
      <x:c r="B66" s="12" t="str">
        <x:v>S1.1.5</x:v>
      </x:c>
      <x:c r="C66" s="12" t="str">
        <x:v>Adjustment row 1: Tax paid excluding penalties</x:v>
      </x:c>
      <x:c r="D66" s="12" t="str">
        <x:v>Prior return</x:v>
      </x:c>
      <x:c r="E66" s="12" t="str">
        <x:v>Prior period and payment evidence</x:v>
      </x:c>
      <x:c r="F66" s="12" t="str">
        <x:v>When applicable</x:v>
      </x:c>
      <x:c r="G66" s="12" t="str">
        <x:v>Adjustment row</x:v>
      </x:c>
      <x:c r="H66" s="12" t="str">
        <x:v>Specified</x:v>
      </x:c>
    </x:row>
    <x:row r="67" ht="46" customHeight="1">
      <x:c r="A67" s="15" t="str">
        <x:v>Schedule 1</x:v>
      </x:c>
      <x:c r="B67" s="15" t="str">
        <x:v>S1.1.6</x:v>
      </x:c>
      <x:c r="C67" s="15" t="str">
        <x:v>Adjustment row 1: Should be tax due</x:v>
      </x:c>
      <x:c r="D67" s="15" t="str">
        <x:v>Reviewed adjustment</x:v>
      </x:c>
      <x:c r="E67" s="15" t="str">
        <x:v>Prior period and payment evidence</x:v>
      </x:c>
      <x:c r="F67" s="15" t="str">
        <x:v>When applicable</x:v>
      </x:c>
      <x:c r="G67" s="15" t="str">
        <x:v>Adjustment row</x:v>
      </x:c>
      <x:c r="H67" s="15" t="str">
        <x:v>Specified</x:v>
      </x:c>
    </x:row>
    <x:row r="68" ht="46" customHeight="1">
      <x:c r="A68" s="12" t="str">
        <x:v>Schedule 1</x:v>
      </x:c>
      <x:c r="B68" s="12" t="str">
        <x:v>S1.1.7</x:v>
      </x:c>
      <x:c r="C68" s="12" t="str">
        <x:v>Adjustment row 1: Adjustment = column 6 less 5</x:v>
      </x:c>
      <x:c r="D68" s="12" t="str">
        <x:v>Calculation</x:v>
      </x:c>
      <x:c r="E68" s="12" t="str">
        <x:v>Prior period and payment evidence</x:v>
      </x:c>
      <x:c r="F68" s="12" t="str">
        <x:v>Column 6 minus column 5</x:v>
      </x:c>
      <x:c r="G68" s="12" t="str">
        <x:v>Adjustment row</x:v>
      </x:c>
      <x:c r="H68" s="12" t="str">
        <x:v>Specified</x:v>
      </x:c>
    </x:row>
    <x:row r="69" ht="46" customHeight="1">
      <x:c r="A69" s="15" t="str">
        <x:v>Schedule 1</x:v>
      </x:c>
      <x:c r="B69" s="15" t="str">
        <x:v>S1.2.1</x:v>
      </x:c>
      <x:c r="C69" s="15" t="str">
        <x:v>Adjustment row 2: Previous month</x:v>
      </x:c>
      <x:c r="D69" s="15" t="str">
        <x:v>Period</x:v>
      </x:c>
      <x:c r="E69" s="15" t="str">
        <x:v>Prior period and payment evidence</x:v>
      </x:c>
      <x:c r="F69" s="15" t="str">
        <x:v>When applicable</x:v>
      </x:c>
      <x:c r="G69" s="15" t="str">
        <x:v>Adjustment row</x:v>
      </x:c>
      <x:c r="H69" s="15" t="str">
        <x:v>Specified</x:v>
      </x:c>
    </x:row>
    <x:row r="70" ht="46" customHeight="1">
      <x:c r="A70" s="12" t="str">
        <x:v>Schedule 1</x:v>
      </x:c>
      <x:c r="B70" s="12" t="str">
        <x:v>S1.2.2</x:v>
      </x:c>
      <x:c r="C70" s="12" t="str">
        <x:v>Adjustment row 2: Date paid</x:v>
      </x:c>
      <x:c r="D70" s="12" t="str">
        <x:v>Payment</x:v>
      </x:c>
      <x:c r="E70" s="12" t="str">
        <x:v>Prior period and payment evidence</x:v>
      </x:c>
      <x:c r="F70" s="12" t="str">
        <x:v>When applicable</x:v>
      </x:c>
      <x:c r="G70" s="12" t="str">
        <x:v>Adjustment row</x:v>
      </x:c>
      <x:c r="H70" s="12" t="str">
        <x:v>Specified</x:v>
      </x:c>
    </x:row>
    <x:row r="71" ht="46" customHeight="1">
      <x:c r="A71" s="15" t="str">
        <x:v>Schedule 1</x:v>
      </x:c>
      <x:c r="B71" s="15" t="str">
        <x:v>S1.2.3</x:v>
      </x:c>
      <x:c r="C71" s="15" t="str">
        <x:v>Adjustment row 2: Drawee bank / code / agency</x:v>
      </x:c>
      <x:c r="D71" s="15" t="str">
        <x:v>Payment</x:v>
      </x:c>
      <x:c r="E71" s="15" t="str">
        <x:v>Prior period and payment evidence</x:v>
      </x:c>
      <x:c r="F71" s="15" t="str">
        <x:v>When applicable</x:v>
      </x:c>
      <x:c r="G71" s="15" t="str">
        <x:v>Adjustment row</x:v>
      </x:c>
      <x:c r="H71" s="15" t="str">
        <x:v>Specified</x:v>
      </x:c>
    </x:row>
    <x:row r="72" ht="46" customHeight="1">
      <x:c r="A72" s="12" t="str">
        <x:v>Schedule 1</x:v>
      </x:c>
      <x:c r="B72" s="12" t="str">
        <x:v>S1.2.4</x:v>
      </x:c>
      <x:c r="C72" s="12" t="str">
        <x:v>Adjustment row 2: Number</x:v>
      </x:c>
      <x:c r="D72" s="12" t="str">
        <x:v>Payment</x:v>
      </x:c>
      <x:c r="E72" s="12" t="str">
        <x:v>Prior period and payment evidence</x:v>
      </x:c>
      <x:c r="F72" s="12" t="str">
        <x:v>When applicable</x:v>
      </x:c>
      <x:c r="G72" s="12" t="str">
        <x:v>Adjustment row</x:v>
      </x:c>
      <x:c r="H72" s="12" t="str">
        <x:v>Specified</x:v>
      </x:c>
    </x:row>
    <x:row r="73" ht="46" customHeight="1">
      <x:c r="A73" s="15" t="str">
        <x:v>Schedule 1</x:v>
      </x:c>
      <x:c r="B73" s="15" t="str">
        <x:v>S1.2.5</x:v>
      </x:c>
      <x:c r="C73" s="15" t="str">
        <x:v>Adjustment row 2: Tax paid excluding penalties</x:v>
      </x:c>
      <x:c r="D73" s="15" t="str">
        <x:v>Prior return</x:v>
      </x:c>
      <x:c r="E73" s="15" t="str">
        <x:v>Prior period and payment evidence</x:v>
      </x:c>
      <x:c r="F73" s="15" t="str">
        <x:v>When applicable</x:v>
      </x:c>
      <x:c r="G73" s="15" t="str">
        <x:v>Adjustment row</x:v>
      </x:c>
      <x:c r="H73" s="15" t="str">
        <x:v>Specified</x:v>
      </x:c>
    </x:row>
    <x:row r="74" ht="46" customHeight="1">
      <x:c r="A74" s="12" t="str">
        <x:v>Schedule 1</x:v>
      </x:c>
      <x:c r="B74" s="12" t="str">
        <x:v>S1.2.6</x:v>
      </x:c>
      <x:c r="C74" s="12" t="str">
        <x:v>Adjustment row 2: Should be tax due</x:v>
      </x:c>
      <x:c r="D74" s="12" t="str">
        <x:v>Reviewed adjustment</x:v>
      </x:c>
      <x:c r="E74" s="12" t="str">
        <x:v>Prior period and payment evidence</x:v>
      </x:c>
      <x:c r="F74" s="12" t="str">
        <x:v>When applicable</x:v>
      </x:c>
      <x:c r="G74" s="12" t="str">
        <x:v>Adjustment row</x:v>
      </x:c>
      <x:c r="H74" s="12" t="str">
        <x:v>Specified</x:v>
      </x:c>
    </x:row>
    <x:row r="75" ht="46" customHeight="1">
      <x:c r="A75" s="15" t="str">
        <x:v>Schedule 1</x:v>
      </x:c>
      <x:c r="B75" s="15" t="str">
        <x:v>S1.2.7</x:v>
      </x:c>
      <x:c r="C75" s="15" t="str">
        <x:v>Adjustment row 2: Adjustment = column 6 less 5</x:v>
      </x:c>
      <x:c r="D75" s="15" t="str">
        <x:v>Calculation</x:v>
      </x:c>
      <x:c r="E75" s="15" t="str">
        <x:v>Prior period and payment evidence</x:v>
      </x:c>
      <x:c r="F75" s="15" t="str">
        <x:v>Column 6 minus column 5</x:v>
      </x:c>
      <x:c r="G75" s="15" t="str">
        <x:v>Adjustment row</x:v>
      </x:c>
      <x:c r="H75" s="15" t="str">
        <x:v>Specified</x:v>
      </x:c>
    </x:row>
    <x:row r="76" ht="46" customHeight="1">
      <x:c r="A76" s="12" t="str">
        <x:v>Schedule 1</x:v>
      </x:c>
      <x:c r="B76" s="12" t="str">
        <x:v>S1.3.1</x:v>
      </x:c>
      <x:c r="C76" s="12" t="str">
        <x:v>Adjustment row 3: Previous month</x:v>
      </x:c>
      <x:c r="D76" s="12" t="str">
        <x:v>Period</x:v>
      </x:c>
      <x:c r="E76" s="12" t="str">
        <x:v>Prior period and payment evidence</x:v>
      </x:c>
      <x:c r="F76" s="12" t="str">
        <x:v>When applicable</x:v>
      </x:c>
      <x:c r="G76" s="12" t="str">
        <x:v>Adjustment row</x:v>
      </x:c>
      <x:c r="H76" s="12" t="str">
        <x:v>Specified</x:v>
      </x:c>
    </x:row>
    <x:row r="77" ht="46" customHeight="1">
      <x:c r="A77" s="15" t="str">
        <x:v>Schedule 1</x:v>
      </x:c>
      <x:c r="B77" s="15" t="str">
        <x:v>S1.3.2</x:v>
      </x:c>
      <x:c r="C77" s="15" t="str">
        <x:v>Adjustment row 3: Date paid</x:v>
      </x:c>
      <x:c r="D77" s="15" t="str">
        <x:v>Payment</x:v>
      </x:c>
      <x:c r="E77" s="15" t="str">
        <x:v>Prior period and payment evidence</x:v>
      </x:c>
      <x:c r="F77" s="15" t="str">
        <x:v>When applicable</x:v>
      </x:c>
      <x:c r="G77" s="15" t="str">
        <x:v>Adjustment row</x:v>
      </x:c>
      <x:c r="H77" s="15" t="str">
        <x:v>Specified</x:v>
      </x:c>
    </x:row>
    <x:row r="78" ht="46" customHeight="1">
      <x:c r="A78" s="12" t="str">
        <x:v>Schedule 1</x:v>
      </x:c>
      <x:c r="B78" s="12" t="str">
        <x:v>S1.3.3</x:v>
      </x:c>
      <x:c r="C78" s="12" t="str">
        <x:v>Adjustment row 3: Drawee bank / code / agency</x:v>
      </x:c>
      <x:c r="D78" s="12" t="str">
        <x:v>Payment</x:v>
      </x:c>
      <x:c r="E78" s="12" t="str">
        <x:v>Prior period and payment evidence</x:v>
      </x:c>
      <x:c r="F78" s="12" t="str">
        <x:v>When applicable</x:v>
      </x:c>
      <x:c r="G78" s="12" t="str">
        <x:v>Adjustment row</x:v>
      </x:c>
      <x:c r="H78" s="12" t="str">
        <x:v>Specified</x:v>
      </x:c>
    </x:row>
    <x:row r="79" ht="46" customHeight="1">
      <x:c r="A79" s="15" t="str">
        <x:v>Schedule 1</x:v>
      </x:c>
      <x:c r="B79" s="15" t="str">
        <x:v>S1.3.4</x:v>
      </x:c>
      <x:c r="C79" s="15" t="str">
        <x:v>Adjustment row 3: Number</x:v>
      </x:c>
      <x:c r="D79" s="15" t="str">
        <x:v>Payment</x:v>
      </x:c>
      <x:c r="E79" s="15" t="str">
        <x:v>Prior period and payment evidence</x:v>
      </x:c>
      <x:c r="F79" s="15" t="str">
        <x:v>When applicable</x:v>
      </x:c>
      <x:c r="G79" s="15" t="str">
        <x:v>Adjustment row</x:v>
      </x:c>
      <x:c r="H79" s="15" t="str">
        <x:v>Specified</x:v>
      </x:c>
    </x:row>
    <x:row r="80" ht="46" customHeight="1">
      <x:c r="A80" s="12" t="str">
        <x:v>Schedule 1</x:v>
      </x:c>
      <x:c r="B80" s="12" t="str">
        <x:v>S1.3.5</x:v>
      </x:c>
      <x:c r="C80" s="12" t="str">
        <x:v>Adjustment row 3: Tax paid excluding penalties</x:v>
      </x:c>
      <x:c r="D80" s="12" t="str">
        <x:v>Prior return</x:v>
      </x:c>
      <x:c r="E80" s="12" t="str">
        <x:v>Prior period and payment evidence</x:v>
      </x:c>
      <x:c r="F80" s="12" t="str">
        <x:v>When applicable</x:v>
      </x:c>
      <x:c r="G80" s="12" t="str">
        <x:v>Adjustment row</x:v>
      </x:c>
      <x:c r="H80" s="12" t="str">
        <x:v>Specified</x:v>
      </x:c>
    </x:row>
    <x:row r="81" ht="46" customHeight="1">
      <x:c r="A81" s="15" t="str">
        <x:v>Schedule 1</x:v>
      </x:c>
      <x:c r="B81" s="15" t="str">
        <x:v>S1.3.6</x:v>
      </x:c>
      <x:c r="C81" s="15" t="str">
        <x:v>Adjustment row 3: Should be tax due</x:v>
      </x:c>
      <x:c r="D81" s="15" t="str">
        <x:v>Reviewed adjustment</x:v>
      </x:c>
      <x:c r="E81" s="15" t="str">
        <x:v>Prior period and payment evidence</x:v>
      </x:c>
      <x:c r="F81" s="15" t="str">
        <x:v>When applicable</x:v>
      </x:c>
      <x:c r="G81" s="15" t="str">
        <x:v>Adjustment row</x:v>
      </x:c>
      <x:c r="H81" s="15" t="str">
        <x:v>Specified</x:v>
      </x:c>
    </x:row>
    <x:row r="82" ht="46" customHeight="1">
      <x:c r="A82" s="12" t="str">
        <x:v>Schedule 1</x:v>
      </x:c>
      <x:c r="B82" s="12" t="str">
        <x:v>S1.3.7</x:v>
      </x:c>
      <x:c r="C82" s="12" t="str">
        <x:v>Adjustment row 3: Adjustment = column 6 less 5</x:v>
      </x:c>
      <x:c r="D82" s="12" t="str">
        <x:v>Calculation</x:v>
      </x:c>
      <x:c r="E82" s="12" t="str">
        <x:v>Prior period and payment evidence</x:v>
      </x:c>
      <x:c r="F82" s="12" t="str">
        <x:v>Column 6 minus column 5</x:v>
      </x:c>
      <x:c r="G82" s="12" t="str">
        <x:v>Adjustment row</x:v>
      </x:c>
      <x:c r="H82" s="12" t="str">
        <x:v>Specified</x:v>
      </x:c>
    </x:row>
    <x:row r="83" ht="46" customHeight="1">
      <x:c r="A83" s="15" t="str">
        <x:v>Schedule 1</x:v>
      </x:c>
      <x:c r="B83" s="15" t="str">
        <x:v>S1.4</x:v>
      </x:c>
      <x:c r="C83" s="15" t="str">
        <x:v>Total adjustment</x:v>
      </x:c>
      <x:c r="D83" s="15" t="str">
        <x:v>Calculated</x:v>
      </x:c>
      <x:c r="E83" s="15" t="str">
        <x:v>Sum adjustment column for rows 1–3</x:v>
      </x:c>
      <x:c r="F83" s="15" t="str">
        <x:v>Carries to II.26</x:v>
      </x:c>
      <x:c r="G83" s="15" t="str">
        <x:v>Return</x:v>
      </x:c>
      <x:c r="H83" s="15" t="str">
        <x:v>Specified</x:v>
      </x:c>
    </x:row>
  </x:sheetData>
  <x:pageMargins left="0.7" right="0.7" top="0.75" bottom="0.75" header="0.3" footer="0.3"/>
  <x:tableParts count="1">
    <x:tablePart xmlns:r="http://schemas.openxmlformats.org/officeDocument/2006/relationships" r:id="Rdacbd7eeb9d640d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1" hidden="0" customWidth="1"/>
    <x:col min="3" max="3" width="44" hidden="0" customWidth="1"/>
    <x:col min="4" max="4" width="22" hidden="0" customWidth="1"/>
    <x:col min="5" max="5" width="42" hidden="0" customWidth="1"/>
    <x:col min="6" max="6" width="55" hidden="0" customWidth="1"/>
    <x:col min="7" max="7" width="20" hidden="0" customWidth="1"/>
    <x:col min="8" max="8" width="18" hidden="0" customWidth="1"/>
  </x:cols>
  <x:sheetData>
    <x:row r="1" ht="24" customHeight="1">
      <x:c r="A1" s="1" t="str">
        <x:v>1701-MS field dictionary</x:v>
      </x:c>
    </x:row>
    <x:row r="2" ht="24" customHeight="1">
      <x:c r="A2" s="2" t="str">
        <x:v>August 2024, 2 pages. Field IDs include Part and item; each A/B field is separately scoped to taxpayer or spouse.</x:v>
      </x:c>
    </x:row>
    <x:row r="3" ht="24" customHeight="1">
      <x:c r="A3" s="3" t="str">
        <x:v>All numbered fields are inventoried. Compensation uses the owner’s 2316, not the company’s 1601-C payroll. Official source S3.</x:v>
      </x:c>
    </x:row>
    <x:row r="5" ht="32" customHeight="1">
      <x:c r="A5" s="14" t="str">
        <x:v>Section</x:v>
      </x:c>
      <x:c r="B5" s="14" t="str">
        <x:v>Field ID</x:v>
      </x:c>
      <x:c r="C5" s="14" t="str">
        <x:v>BIR field</x:v>
      </x:c>
      <x:c r="D5" s="14" t="str">
        <x:v>Origin</x:v>
      </x:c>
      <x:c r="E5" s="14" t="str">
        <x:v>Source / data</x:v>
      </x:c>
      <x:c r="F5" s="14" t="str">
        <x:v>Rule or condition</x:v>
      </x:c>
      <x:c r="G5" s="14" t="str">
        <x:v>Grain</x:v>
      </x:c>
      <x:c r="H5" s="14" t="str">
        <x:v>Status</x:v>
      </x:c>
    </x:row>
    <x:row r="6" ht="46" customHeight="1">
      <x:c r="A6" s="12" t="str">
        <x:v>Header</x:v>
      </x:c>
      <x:c r="B6" s="12" t="str">
        <x:v>H.1</x:v>
      </x:c>
      <x:c r="C6" s="12" t="str">
        <x:v>For the year (MM/YYYY)</x:v>
      </x:c>
      <x:c r="D6" s="12" t="str">
        <x:v>Period</x:v>
      </x:c>
      <x:c r="E6" s="12" t="str">
        <x:v>Tax year</x:v>
      </x:c>
      <x:c r="F6" s="12" t="str">
        <x:v>Annual</x:v>
      </x:c>
      <x:c r="G6" s="12" t="str">
        <x:v>Return</x:v>
      </x:c>
      <x:c r="H6" s="12" t="str">
        <x:v>Specified</x:v>
      </x:c>
    </x:row>
    <x:row r="7" ht="46" customHeight="1">
      <x:c r="A7" s="15" t="str">
        <x:v>Header</x:v>
      </x:c>
      <x:c r="B7" s="15" t="str">
        <x:v>H.2</x:v>
      </x:c>
      <x:c r="C7" s="15" t="str">
        <x:v>Amended return?</x:v>
      </x:c>
      <x:c r="D7" s="15" t="str">
        <x:v>Filing</x:v>
      </x:c>
      <x:c r="E7" s="15" t="str">
        <x:v>Return version</x:v>
      </x:c>
      <x:c r="F7" s="15" t="str">
        <x:v>Link original</x:v>
      </x:c>
      <x:c r="G7" s="15" t="str">
        <x:v>Return</x:v>
      </x:c>
      <x:c r="H7" s="15" t="str">
        <x:v>Specified</x:v>
      </x:c>
    </x:row>
    <x:row r="8" ht="46" customHeight="1">
      <x:c r="A8" s="12" t="str">
        <x:v>Header</x:v>
      </x:c>
      <x:c r="B8" s="12" t="str">
        <x:v>H.3</x:v>
      </x:c>
      <x:c r="C8" s="12" t="str">
        <x:v>Short period return?</x:v>
      </x:c>
      <x:c r="D8" s="12" t="str">
        <x:v>Filing</x:v>
      </x:c>
      <x:c r="E8" s="12" t="str">
        <x:v>Period metadata</x:v>
      </x:c>
      <x:c r="F8" s="12" t="str">
        <x:v>Yes/No</x:v>
      </x:c>
      <x:c r="G8" s="12" t="str">
        <x:v>Return</x:v>
      </x:c>
      <x:c r="H8" s="12" t="str">
        <x:v>Specified</x:v>
      </x:c>
    </x:row>
    <x:row r="9" ht="46" customHeight="1">
      <x:c r="A9" s="15" t="str">
        <x:v>Header</x:v>
      </x:c>
      <x:c r="B9" s="15" t="str">
        <x:v>H.4</x:v>
      </x:c>
      <x:c r="C9" s="15" t="str">
        <x:v>Civil status</x:v>
      </x:c>
      <x:c r="D9" s="15" t="str">
        <x:v>Person profile</x:v>
      </x:c>
      <x:c r="E9" s="15" t="str">
        <x:v>Taxpayer civil status</x:v>
      </x:c>
      <x:c r="F9" s="15" t="str">
        <x:v>Not a business category</x:v>
      </x:c>
      <x:c r="G9" s="15" t="str">
        <x:v>Return</x:v>
      </x:c>
      <x:c r="H9" s="15" t="str">
        <x:v>Specified</x:v>
      </x:c>
    </x:row>
    <x:row r="10" ht="46" customHeight="1">
      <x:c r="A10" s="12" t="str">
        <x:v>Header</x:v>
      </x:c>
      <x:c r="B10" s="12" t="str">
        <x:v>H.5</x:v>
      </x:c>
      <x:c r="C10" s="12" t="str">
        <x:v>If married, filing jointly / separately / spouse no income</x:v>
      </x:c>
      <x:c r="D10" s="12" t="str">
        <x:v>Person profile</x:v>
      </x:c>
      <x:c r="E10" s="12" t="str">
        <x:v>Filing election</x:v>
      </x:c>
      <x:c r="F10" s="12" t="str">
        <x:v>Confirm person-specific columns</x:v>
      </x:c>
      <x:c r="G10" s="12" t="str">
        <x:v>Return</x:v>
      </x:c>
      <x:c r="H10" s="12" t="str">
        <x:v>Specified</x:v>
      </x:c>
    </x:row>
    <x:row r="11" ht="46" customHeight="1">
      <x:c r="A11" s="15" t="str">
        <x:v>I</x:v>
      </x:c>
      <x:c r="B11" s="15" t="str">
        <x:v>I.6</x:v>
      </x:c>
      <x:c r="C11" s="15" t="str">
        <x:v>TIN</x:v>
      </x:c>
      <x:c r="D11" s="15" t="str">
        <x:v>Profile / election</x:v>
      </x:c>
      <x:c r="E11" s="15" t="str">
        <x:v>Taxpayer / spouse TIN</x:v>
      </x:c>
      <x:c r="F11" s="15" t="str">
        <x:v>Conditional; evaluate each taxpayer or spouse separately</x:v>
      </x:c>
      <x:c r="G11" s="15" t="str">
        <x:v>Person A / B</x:v>
      </x:c>
      <x:c r="H11" s="15" t="str">
        <x:v>Specified</x:v>
      </x:c>
    </x:row>
    <x:row r="12" ht="46" customHeight="1">
      <x:c r="A12" s="12" t="str">
        <x:v>I</x:v>
      </x:c>
      <x:c r="B12" s="12" t="str">
        <x:v>I.7</x:v>
      </x:c>
      <x:c r="C12" s="12" t="str">
        <x:v>RDO code</x:v>
      </x:c>
      <x:c r="D12" s="12" t="str">
        <x:v>Profile / election</x:v>
      </x:c>
      <x:c r="E12" s="12" t="str">
        <x:v>Person registration</x:v>
      </x:c>
      <x:c r="F12" s="12" t="str">
        <x:v>Conditional; evaluate each taxpayer or spouse separately</x:v>
      </x:c>
      <x:c r="G12" s="12" t="str">
        <x:v>Person A / B</x:v>
      </x:c>
      <x:c r="H12" s="12" t="str">
        <x:v>Specified</x:v>
      </x:c>
    </x:row>
    <x:row r="13" ht="46" customHeight="1">
      <x:c r="A13" s="15" t="str">
        <x:v>I</x:v>
      </x:c>
      <x:c r="B13" s="15" t="str">
        <x:v>I.8</x:v>
      </x:c>
      <x:c r="C13" s="15" t="str">
        <x:v>Name</x:v>
      </x:c>
      <x:c r="D13" s="15" t="str">
        <x:v>Profile / election</x:v>
      </x:c>
      <x:c r="E13" s="15" t="str">
        <x:v>Taxpayer / spouse name</x:v>
      </x:c>
      <x:c r="F13" s="15" t="str">
        <x:v>Conditional; evaluate each taxpayer or spouse separately</x:v>
      </x:c>
      <x:c r="G13" s="15" t="str">
        <x:v>Person A / B</x:v>
      </x:c>
      <x:c r="H13" s="15" t="str">
        <x:v>Specified</x:v>
      </x:c>
    </x:row>
    <x:row r="14" ht="46" customHeight="1">
      <x:c r="A14" s="12" t="str">
        <x:v>I</x:v>
      </x:c>
      <x:c r="B14" s="12" t="str">
        <x:v>I.9</x:v>
      </x:c>
      <x:c r="C14" s="12" t="str">
        <x:v>Email address</x:v>
      </x:c>
      <x:c r="D14" s="12" t="str">
        <x:v>Profile / election</x:v>
      </x:c>
      <x:c r="E14" s="12" t="str">
        <x:v>Person contact</x:v>
      </x:c>
      <x:c r="F14" s="12" t="str">
        <x:v>Conditional; evaluate each taxpayer or spouse separately</x:v>
      </x:c>
      <x:c r="G14" s="12" t="str">
        <x:v>Person A / B</x:v>
      </x:c>
      <x:c r="H14" s="12" t="str">
        <x:v>Specified</x:v>
      </x:c>
    </x:row>
    <x:row r="15" ht="46" customHeight="1">
      <x:c r="A15" s="15" t="str">
        <x:v>I</x:v>
      </x:c>
      <x:c r="B15" s="15" t="str">
        <x:v>I.10</x:v>
      </x:c>
      <x:c r="C15" s="15" t="str">
        <x:v>Contact number</x:v>
      </x:c>
      <x:c r="D15" s="15" t="str">
        <x:v>Profile / election</x:v>
      </x:c>
      <x:c r="E15" s="15" t="str">
        <x:v>Person contact</x:v>
      </x:c>
      <x:c r="F15" s="15" t="str">
        <x:v>Conditional; evaluate each taxpayer or spouse separately</x:v>
      </x:c>
      <x:c r="G15" s="15" t="str">
        <x:v>Person A / B</x:v>
      </x:c>
      <x:c r="H15" s="15" t="str">
        <x:v>Specified</x:v>
      </x:c>
    </x:row>
    <x:row r="16" ht="46" customHeight="1">
      <x:c r="A16" s="12" t="str">
        <x:v>I</x:v>
      </x:c>
      <x:c r="B16" s="12" t="str">
        <x:v>I.11</x:v>
      </x:c>
      <x:c r="C16" s="12" t="str">
        <x:v>Source of income</x:v>
      </x:c>
      <x:c r="D16" s="12" t="str">
        <x:v>Profile / election</x:v>
      </x:c>
      <x:c r="E16" s="12" t="str">
        <x:v>Business / profession / mixed / spouse compensation</x:v>
      </x:c>
      <x:c r="F16" s="12" t="str">
        <x:v>Conditional; evaluate each taxpayer or spouse separately</x:v>
      </x:c>
      <x:c r="G16" s="12" t="str">
        <x:v>Person A / B</x:v>
      </x:c>
      <x:c r="H16" s="12" t="str">
        <x:v>Specified</x:v>
      </x:c>
    </x:row>
    <x:row r="17" ht="46" customHeight="1">
      <x:c r="A17" s="15" t="str">
        <x:v>I</x:v>
      </x:c>
      <x:c r="B17" s="15" t="str">
        <x:v>I.12</x:v>
      </x:c>
      <x:c r="C17" s="15" t="str">
        <x:v>Income subject to</x:v>
      </x:c>
      <x:c r="D17" s="15" t="str">
        <x:v>Profile / election</x:v>
      </x:c>
      <x:c r="E17" s="15" t="str">
        <x:v>Graduated / 8% / special / exempt</x:v>
      </x:c>
      <x:c r="F17" s="15" t="str">
        <x:v>Conditional; evaluate each taxpayer or spouse separately</x:v>
      </x:c>
      <x:c r="G17" s="15" t="str">
        <x:v>Person A / B</x:v>
      </x:c>
      <x:c r="H17" s="15" t="str">
        <x:v>Specified</x:v>
      </x:c>
    </x:row>
    <x:row r="18" ht="46" customHeight="1">
      <x:c r="A18" s="12" t="str">
        <x:v>I</x:v>
      </x:c>
      <x:c r="B18" s="12" t="str">
        <x:v>I.13</x:v>
      </x:c>
      <x:c r="C18" s="12" t="str">
        <x:v>Legal basis of relief / exemption</x:v>
      </x:c>
      <x:c r="D18" s="12" t="str">
        <x:v>Profile / election</x:v>
      </x:c>
      <x:c r="E18" s="12" t="str">
        <x:v>Relief authority</x:v>
      </x:c>
      <x:c r="F18" s="12" t="str">
        <x:v>Conditional; evaluate each taxpayer or spouse separately</x:v>
      </x:c>
      <x:c r="G18" s="12" t="str">
        <x:v>Person A / B</x:v>
      </x:c>
      <x:c r="H18" s="12" t="str">
        <x:v>Specified</x:v>
      </x:c>
    </x:row>
    <x:row r="19" ht="46" customHeight="1">
      <x:c r="A19" s="15" t="str">
        <x:v>I</x:v>
      </x:c>
      <x:c r="B19" s="15" t="str">
        <x:v>I.14</x:v>
      </x:c>
      <x:c r="C19" s="15" t="str">
        <x:v>Investment promotion / government agency</x:v>
      </x:c>
      <x:c r="D19" s="15" t="str">
        <x:v>Profile / election</x:v>
      </x:c>
      <x:c r="E19" s="15" t="str">
        <x:v>Relief authority</x:v>
      </x:c>
      <x:c r="F19" s="15" t="str">
        <x:v>Conditional; evaluate each taxpayer or spouse separately</x:v>
      </x:c>
      <x:c r="G19" s="15" t="str">
        <x:v>Person A / B</x:v>
      </x:c>
      <x:c r="H19" s="15" t="str">
        <x:v>Specified</x:v>
      </x:c>
    </x:row>
    <x:row r="20" ht="46" customHeight="1">
      <x:c r="A20" s="12" t="str">
        <x:v>I</x:v>
      </x:c>
      <x:c r="B20" s="12" t="str">
        <x:v>I.15</x:v>
      </x:c>
      <x:c r="C20" s="12" t="str">
        <x:v>Registered activity / program number</x:v>
      </x:c>
      <x:c r="D20" s="12" t="str">
        <x:v>Profile / election</x:v>
      </x:c>
      <x:c r="E20" s="12" t="str">
        <x:v>Registration</x:v>
      </x:c>
      <x:c r="F20" s="12" t="str">
        <x:v>Conditional; evaluate each taxpayer or spouse separately</x:v>
      </x:c>
      <x:c r="G20" s="12" t="str">
        <x:v>Person A / B</x:v>
      </x:c>
      <x:c r="H20" s="12" t="str">
        <x:v>Specified</x:v>
      </x:c>
    </x:row>
    <x:row r="21" ht="46" customHeight="1">
      <x:c r="A21" s="15" t="str">
        <x:v>I</x:v>
      </x:c>
      <x:c r="B21" s="15" t="str">
        <x:v>I.16</x:v>
      </x:c>
      <x:c r="C21" s="15" t="str">
        <x:v>Relief effective from / to</x:v>
      </x:c>
      <x:c r="D21" s="15" t="str">
        <x:v>Profile / election</x:v>
      </x:c>
      <x:c r="E21" s="15" t="str">
        <x:v>Registration dates</x:v>
      </x:c>
      <x:c r="F21" s="15" t="str">
        <x:v>Conditional; evaluate each taxpayer or spouse separately</x:v>
      </x:c>
      <x:c r="G21" s="15" t="str">
        <x:v>Person A / B</x:v>
      </x:c>
      <x:c r="H21" s="15" t="str">
        <x:v>Specified</x:v>
      </x:c>
    </x:row>
    <x:row r="22" ht="46" customHeight="1">
      <x:c r="A22" s="12" t="str">
        <x:v>I</x:v>
      </x:c>
      <x:c r="B22" s="12" t="str">
        <x:v>I.17</x:v>
      </x:c>
      <x:c r="C22" s="12" t="str">
        <x:v>Method of deduction</x:v>
      </x:c>
      <x:c r="D22" s="12" t="str">
        <x:v>Profile / election</x:v>
      </x:c>
      <x:c r="E22" s="12" t="str">
        <x:v>Itemized / OSD</x:v>
      </x:c>
      <x:c r="F22" s="12" t="str">
        <x:v>Conditional; evaluate each taxpayer or spouse separately</x:v>
      </x:c>
      <x:c r="G22" s="12" t="str">
        <x:v>Person A / B</x:v>
      </x:c>
      <x:c r="H22" s="12" t="str">
        <x:v>Specified</x:v>
      </x:c>
    </x:row>
    <x:row r="23" ht="46" customHeight="1">
      <x:c r="A23" s="15" t="str">
        <x:v>I</x:v>
      </x:c>
      <x:c r="B23" s="15" t="str">
        <x:v>I.18</x:v>
      </x:c>
      <x:c r="C23" s="15" t="str">
        <x:v>Alphanumeric tax code</x:v>
      </x:c>
      <x:c r="D23" s="15" t="str">
        <x:v>Profile / election</x:v>
      </x:c>
      <x:c r="E23" s="15" t="str">
        <x:v>Effective ATC / income source</x:v>
      </x:c>
      <x:c r="F23" s="15" t="str">
        <x:v>Conditional; evaluate each taxpayer or spouse separately</x:v>
      </x:c>
      <x:c r="G23" s="15" t="str">
        <x:v>Person A / B</x:v>
      </x:c>
      <x:c r="H23" s="15" t="str">
        <x:v>Specified</x:v>
      </x:c>
    </x:row>
    <x:row r="24" ht="46" customHeight="1">
      <x:c r="A24" s="12" t="str">
        <x:v>II</x:v>
      </x:c>
      <x:c r="B24" s="12" t="str">
        <x:v>II.19</x:v>
      </x:c>
      <x:c r="C24" s="12" t="str">
        <x:v>Income tax due – special / preferential</x:v>
      </x:c>
      <x:c r="D24" s="12" t="str">
        <x:v>Calculated</x:v>
      </x:c>
      <x:c r="E24" s="12" t="str">
        <x:v>IV.18A</x:v>
      </x:c>
      <x:c r="F24" s="12" t="str">
        <x:v>Person A / B</x:v>
      </x:c>
      <x:c r="G24" s="12" t="str">
        <x:v>Person A / B</x:v>
      </x:c>
      <x:c r="H24" s="12" t="str">
        <x:v>Specified</x:v>
      </x:c>
    </x:row>
    <x:row r="25" ht="46" customHeight="1">
      <x:c r="A25" s="15" t="str">
        <x:v>II</x:v>
      </x:c>
      <x:c r="B25" s="15" t="str">
        <x:v>II.20</x:v>
      </x:c>
      <x:c r="C25" s="15" t="str">
        <x:v>Share remitted to other government agency</x:v>
      </x:c>
      <x:c r="D25" s="15" t="str">
        <x:v>Payment / relief</x:v>
      </x:c>
      <x:c r="E25" s="15" t="str">
        <x:v>Agency remittance evidence</x:v>
      </x:c>
      <x:c r="F25" s="15" t="str">
        <x:v>Only if directly remitted</x:v>
      </x:c>
      <x:c r="G25" s="15" t="str">
        <x:v>Person A / B</x:v>
      </x:c>
      <x:c r="H25" s="15" t="str">
        <x:v>Specified</x:v>
      </x:c>
    </x:row>
    <x:row r="26" ht="46" customHeight="1">
      <x:c r="A26" s="12" t="str">
        <x:v>II</x:v>
      </x:c>
      <x:c r="B26" s="12" t="str">
        <x:v>II.21</x:v>
      </x:c>
      <x:c r="C26" s="12" t="str">
        <x:v>Net special / preferential tax</x:v>
      </x:c>
      <x:c r="D26" s="12" t="str">
        <x:v>Calculated</x:v>
      </x:c>
      <x:c r="E26" s="12" t="str">
        <x:v>II.19 - II.20</x:v>
      </x:c>
      <x:c r="F26" s="12" t="str">
        <x:v>Per person</x:v>
      </x:c>
      <x:c r="G26" s="12" t="str">
        <x:v>Person A / B</x:v>
      </x:c>
      <x:c r="H26" s="12" t="str">
        <x:v>Specified</x:v>
      </x:c>
    </x:row>
    <x:row r="27" ht="46" customHeight="1">
      <x:c r="A27" s="15" t="str">
        <x:v>II</x:v>
      </x:c>
      <x:c r="B27" s="15" t="str">
        <x:v>II.22</x:v>
      </x:c>
      <x:c r="C27" s="15" t="str">
        <x:v>Income tax due – regular</x:v>
      </x:c>
      <x:c r="D27" s="15" t="str">
        <x:v>Calculated</x:v>
      </x:c>
      <x:c r="E27" s="15" t="str">
        <x:v>IV.18B or IV.25</x:v>
      </x:c>
      <x:c r="F27" s="15" t="str">
        <x:v>Choose applicable regime</x:v>
      </x:c>
      <x:c r="G27" s="15" t="str">
        <x:v>Person A / B</x:v>
      </x:c>
      <x:c r="H27" s="15" t="str">
        <x:v>Specified</x:v>
      </x:c>
    </x:row>
    <x:row r="28" ht="46" customHeight="1">
      <x:c r="A28" s="12" t="str">
        <x:v>II</x:v>
      </x:c>
      <x:c r="B28" s="12" t="str">
        <x:v>II.23</x:v>
      </x:c>
      <x:c r="C28" s="12" t="str">
        <x:v>Total income tax due</x:v>
      </x:c>
      <x:c r="D28" s="12" t="str">
        <x:v>Calculated</x:v>
      </x:c>
      <x:c r="E28" s="12" t="str">
        <x:v>II.21 + II.22</x:v>
      </x:c>
      <x:c r="F28" s="12" t="str">
        <x:v>Per person</x:v>
      </x:c>
      <x:c r="G28" s="12" t="str">
        <x:v>Person A / B</x:v>
      </x:c>
      <x:c r="H28" s="12" t="str">
        <x:v>Specified</x:v>
      </x:c>
    </x:row>
    <x:row r="29" ht="46" customHeight="1">
      <x:c r="A29" s="15" t="str">
        <x:v>II</x:v>
      </x:c>
      <x:c r="B29" s="15" t="str">
        <x:v>II.24</x:v>
      </x:c>
      <x:c r="C29" s="15" t="str">
        <x:v>Total tax credits / payments</x:v>
      </x:c>
      <x:c r="D29" s="15" t="str">
        <x:v>Calculated</x:v>
      </x:c>
      <x:c r="E29" s="15" t="str">
        <x:v>V.10</x:v>
      </x:c>
      <x:c r="F29" s="15" t="str">
        <x:v>Use income-tax credits only</x:v>
      </x:c>
      <x:c r="G29" s="15" t="str">
        <x:v>Person A / B</x:v>
      </x:c>
      <x:c r="H29" s="15" t="str">
        <x:v>Specified</x:v>
      </x:c>
    </x:row>
    <x:row r="30" ht="46" customHeight="1">
      <x:c r="A30" s="12" t="str">
        <x:v>II</x:v>
      </x:c>
      <x:c r="B30" s="12" t="str">
        <x:v>II.25</x:v>
      </x:c>
      <x:c r="C30" s="12" t="str">
        <x:v>Tax payable / overpayment</x:v>
      </x:c>
      <x:c r="D30" s="12" t="str">
        <x:v>Calculated</x:v>
      </x:c>
      <x:c r="E30" s="12" t="str">
        <x:v>II.23 - II.24</x:v>
      </x:c>
      <x:c r="F30" s="12" t="str">
        <x:v>Preserve sign</x:v>
      </x:c>
      <x:c r="G30" s="12" t="str">
        <x:v>Person A / B</x:v>
      </x:c>
      <x:c r="H30" s="12" t="str">
        <x:v>Specified</x:v>
      </x:c>
    </x:row>
    <x:row r="31" ht="46" customHeight="1">
      <x:c r="A31" s="15" t="str">
        <x:v>II</x:v>
      </x:c>
      <x:c r="B31" s="15" t="str">
        <x:v>II.26</x:v>
      </x:c>
      <x:c r="C31" s="15" t="str">
        <x:v>Tax due allowed for second installment</x:v>
      </x:c>
      <x:c r="D31" s="15" t="str">
        <x:v>Filing election</x:v>
      </x:c>
      <x:c r="E31" s="15" t="str">
        <x:v>Installment conditions and filer election</x:v>
      </x:c>
      <x:c r="F31" s="15" t="str">
        <x:v>Do not assume automatic entitlement</x:v>
      </x:c>
      <x:c r="G31" s="15" t="str">
        <x:v>Person A / B</x:v>
      </x:c>
      <x:c r="H31" s="15" t="str">
        <x:v>Specified</x:v>
      </x:c>
    </x:row>
    <x:row r="32" ht="46" customHeight="1">
      <x:c r="A32" s="12" t="str">
        <x:v>II</x:v>
      </x:c>
      <x:c r="B32" s="12" t="str">
        <x:v>II.27</x:v>
      </x:c>
      <x:c r="C32" s="12" t="str">
        <x:v>Amount payable / overpayment</x:v>
      </x:c>
      <x:c r="D32" s="12" t="str">
        <x:v>Calculated</x:v>
      </x:c>
      <x:c r="E32" s="12" t="str">
        <x:v>II.25 - II.26</x:v>
      </x:c>
      <x:c r="F32" s="12" t="str">
        <x:v>Preserve sign</x:v>
      </x:c>
      <x:c r="G32" s="12" t="str">
        <x:v>Person A / B</x:v>
      </x:c>
      <x:c r="H32" s="12" t="str">
        <x:v>Specified</x:v>
      </x:c>
    </x:row>
    <x:row r="33" ht="46" customHeight="1">
      <x:c r="A33" s="15" t="str">
        <x:v>II</x:v>
      </x:c>
      <x:c r="B33" s="15" t="str">
        <x:v>II.28A</x:v>
      </x:c>
      <x:c r="C33" s="15" t="str">
        <x:v>Surcharge</x:v>
      </x:c>
      <x:c r="D33" s="15" t="str">
        <x:v>Manual review</x:v>
      </x:c>
      <x:c r="E33" s="15" t="str">
        <x:v>Penalty assessment</x:v>
      </x:c>
      <x:c r="F33" s="15" t="str">
        <x:v>Per person</x:v>
      </x:c>
      <x:c r="G33" s="15" t="str">
        <x:v>Person A / B</x:v>
      </x:c>
      <x:c r="H33" s="15" t="str">
        <x:v>Specified</x:v>
      </x:c>
    </x:row>
    <x:row r="34" ht="46" customHeight="1">
      <x:c r="A34" s="12" t="str">
        <x:v>II</x:v>
      </x:c>
      <x:c r="B34" s="12" t="str">
        <x:v>II.28B</x:v>
      </x:c>
      <x:c r="C34" s="12" t="str">
        <x:v>Interest</x:v>
      </x:c>
      <x:c r="D34" s="12" t="str">
        <x:v>Manual review</x:v>
      </x:c>
      <x:c r="E34" s="12" t="str">
        <x:v>Penalty assessment</x:v>
      </x:c>
      <x:c r="F34" s="12" t="str">
        <x:v>Per person</x:v>
      </x:c>
      <x:c r="G34" s="12" t="str">
        <x:v>Person A / B</x:v>
      </x:c>
      <x:c r="H34" s="12" t="str">
        <x:v>Specified</x:v>
      </x:c>
    </x:row>
    <x:row r="35" ht="46" customHeight="1">
      <x:c r="A35" s="15" t="str">
        <x:v>II</x:v>
      </x:c>
      <x:c r="B35" s="15" t="str">
        <x:v>II.28C</x:v>
      </x:c>
      <x:c r="C35" s="15" t="str">
        <x:v>Compromise</x:v>
      </x:c>
      <x:c r="D35" s="15" t="str">
        <x:v>Manual review</x:v>
      </x:c>
      <x:c r="E35" s="15" t="str">
        <x:v>Penalty assessment</x:v>
      </x:c>
      <x:c r="F35" s="15" t="str">
        <x:v>Per person</x:v>
      </x:c>
      <x:c r="G35" s="15" t="str">
        <x:v>Person A / B</x:v>
      </x:c>
      <x:c r="H35" s="15" t="str">
        <x:v>Specified</x:v>
      </x:c>
    </x:row>
    <x:row r="36" ht="46" customHeight="1">
      <x:c r="A36" s="12" t="str">
        <x:v>II</x:v>
      </x:c>
      <x:c r="B36" s="12" t="str">
        <x:v>II.28D</x:v>
      </x:c>
      <x:c r="C36" s="12" t="str">
        <x:v>Total penalties</x:v>
      </x:c>
      <x:c r="D36" s="12" t="str">
        <x:v>Calculated</x:v>
      </x:c>
      <x:c r="E36" s="12" t="str">
        <x:v>II.28A + II.28B + II.28C</x:v>
      </x:c>
      <x:c r="F36" s="12" t="str">
        <x:v>Per person</x:v>
      </x:c>
      <x:c r="G36" s="12" t="str">
        <x:v>Person A / B</x:v>
      </x:c>
      <x:c r="H36" s="12" t="str">
        <x:v>Specified</x:v>
      </x:c>
    </x:row>
    <x:row r="37" ht="46" customHeight="1">
      <x:c r="A37" s="15" t="str">
        <x:v>II</x:v>
      </x:c>
      <x:c r="B37" s="15" t="str">
        <x:v>II.29</x:v>
      </x:c>
      <x:c r="C37" s="15" t="str">
        <x:v>Total amount payable / overpayment</x:v>
      </x:c>
      <x:c r="D37" s="15" t="str">
        <x:v>Calculated</x:v>
      </x:c>
      <x:c r="E37" s="15" t="str">
        <x:v>II.27 + II.28D</x:v>
      </x:c>
      <x:c r="F37" s="15" t="str">
        <x:v>Per person</x:v>
      </x:c>
      <x:c r="G37" s="15" t="str">
        <x:v>Person A / B</x:v>
      </x:c>
      <x:c r="H37" s="15" t="str">
        <x:v>Specified</x:v>
      </x:c>
    </x:row>
    <x:row r="38" ht="46" customHeight="1">
      <x:c r="A38" s="12" t="str">
        <x:v>II</x:v>
      </x:c>
      <x:c r="B38" s="12" t="str">
        <x:v>II.30</x:v>
      </x:c>
      <x:c r="C38" s="12" t="str">
        <x:v>Aggregate amount payable / overpayment</x:v>
      </x:c>
      <x:c r="D38" s="12" t="str">
        <x:v>Calculated</x:v>
      </x:c>
      <x:c r="E38" s="12" t="str">
        <x:v>II.29 taxpayer + II.29 spouse</x:v>
      </x:c>
      <x:c r="F38" s="12" t="str">
        <x:v>Combine only when filing jointly</x:v>
      </x:c>
      <x:c r="G38" s="12" t="str">
        <x:v>Return</x:v>
      </x:c>
      <x:c r="H38" s="12" t="str">
        <x:v>Specified</x:v>
      </x:c>
    </x:row>
    <x:row r="39" ht="46" customHeight="1">
      <x:c r="A39" s="15" t="str">
        <x:v>II</x:v>
      </x:c>
      <x:c r="B39" s="15" t="str">
        <x:v>II.31</x:v>
      </x:c>
      <x:c r="C39" s="15" t="str">
        <x:v>Overpayment options and amounts</x:v>
      </x:c>
      <x:c r="D39" s="15" t="str">
        <x:v>Filing election</x:v>
      </x:c>
      <x:c r="E39" s="15" t="str">
        <x:v>Refund / TCC / carryover choices</x:v>
      </x:c>
      <x:c r="F39" s="15" t="str">
        <x:v>Follow form limitations and irrevocability</x:v>
      </x:c>
      <x:c r="G39" s="15" t="str">
        <x:v>Person A / B</x:v>
      </x:c>
      <x:c r="H39" s="15" t="str">
        <x:v>Specified</x:v>
      </x:c>
    </x:row>
    <x:row r="40" ht="46" customHeight="1">
      <x:c r="A40" s="12" t="str">
        <x:v>II</x:v>
      </x:c>
      <x:c r="B40" s="12" t="str">
        <x:v>II.32</x:v>
      </x:c>
      <x:c r="C40" s="12" t="str">
        <x:v>Declaration / agreement</x:v>
      </x:c>
      <x:c r="D40" s="12" t="str">
        <x:v>Human</x:v>
      </x:c>
      <x:c r="E40" s="12" t="str">
        <x:v>Taxpayer consent</x:v>
      </x:c>
      <x:c r="F40" s="12" t="str">
        <x:v>Do not auto-sign</x:v>
      </x:c>
      <x:c r="G40" s="12" t="str">
        <x:v>Return</x:v>
      </x:c>
      <x:c r="H40" s="12" t="str">
        <x:v>Specified</x:v>
      </x:c>
    </x:row>
    <x:row r="41" ht="46" customHeight="1">
      <x:c r="A41" s="15" t="str">
        <x:v>II</x:v>
      </x:c>
      <x:c r="B41" s="15" t="str">
        <x:v>II.33</x:v>
      </x:c>
      <x:c r="C41" s="15" t="str">
        <x:v>Name and signature of filer / representative</x:v>
      </x:c>
      <x:c r="D41" s="15" t="str">
        <x:v>Human</x:v>
      </x:c>
      <x:c r="E41" s="15" t="str">
        <x:v>Authorized signer</x:v>
      </x:c>
      <x:c r="F41" s="15" t="str"/>
      <x:c r="G41" s="15" t="str">
        <x:v>Return</x:v>
      </x:c>
      <x:c r="H41" s="15" t="str">
        <x:v>Specified</x:v>
      </x:c>
    </x:row>
    <x:row r="42" ht="46" customHeight="1">
      <x:c r="A42" s="12" t="str">
        <x:v>II</x:v>
      </x:c>
      <x:c r="B42" s="12" t="str">
        <x:v>II.34</x:v>
      </x:c>
      <x:c r="C42" s="12" t="str">
        <x:v>TIN of authorized representative</x:v>
      </x:c>
      <x:c r="D42" s="12" t="str">
        <x:v>Profile</x:v>
      </x:c>
      <x:c r="E42" s="12" t="str">
        <x:v>Representative TIN</x:v>
      </x:c>
      <x:c r="F42" s="12" t="str">
        <x:v>Only when applicable</x:v>
      </x:c>
      <x:c r="G42" s="12" t="str">
        <x:v>Return</x:v>
      </x:c>
      <x:c r="H42" s="12" t="str">
        <x:v>Specified</x:v>
      </x:c>
    </x:row>
    <x:row r="43" ht="46" customHeight="1">
      <x:c r="A43" s="15" t="str">
        <x:v>II</x:v>
      </x:c>
      <x:c r="B43" s="15" t="str">
        <x:v>II.35</x:v>
      </x:c>
      <x:c r="C43" s="15" t="str">
        <x:v>Number of attachments</x:v>
      </x:c>
      <x:c r="D43" s="15" t="str">
        <x:v>Filing</x:v>
      </x:c>
      <x:c r="E43" s="15" t="str">
        <x:v>Attachment records</x:v>
      </x:c>
      <x:c r="F43" s="15" t="str"/>
      <x:c r="G43" s="15" t="str">
        <x:v>Return</x:v>
      </x:c>
      <x:c r="H43" s="15" t="str">
        <x:v>Specified</x:v>
      </x:c>
    </x:row>
    <x:row r="44" ht="46" customHeight="1">
      <x:c r="A44" s="12" t="str">
        <x:v>III</x:v>
      </x:c>
      <x:c r="B44" s="12" t="str">
        <x:v>III.36.bank</x:v>
      </x:c>
      <x:c r="C44" s="12" t="str">
        <x:v>Cash / bank debit: Drawee bank / agency</x:v>
      </x:c>
      <x:c r="D44" s="12" t="str">
        <x:v>Payment</x:v>
      </x:c>
      <x:c r="E44" s="12" t="str">
        <x:v>Payment evidence</x:v>
      </x:c>
      <x:c r="F44" s="12" t="str">
        <x:v>Record if method 36 is used</x:v>
      </x:c>
      <x:c r="G44" s="12" t="str">
        <x:v>Payment row</x:v>
      </x:c>
      <x:c r="H44" s="12" t="str">
        <x:v>Specified</x:v>
      </x:c>
    </x:row>
    <x:row r="45" ht="46" customHeight="1">
      <x:c r="A45" s="15" t="str">
        <x:v>III</x:v>
      </x:c>
      <x:c r="B45" s="15" t="str">
        <x:v>III.36.number</x:v>
      </x:c>
      <x:c r="C45" s="15" t="str">
        <x:v>Cash / bank debit: Reference number</x:v>
      </x:c>
      <x:c r="D45" s="15" t="str">
        <x:v>Payment</x:v>
      </x:c>
      <x:c r="E45" s="15" t="str">
        <x:v>Payment evidence</x:v>
      </x:c>
      <x:c r="F45" s="15" t="str">
        <x:v>Record if method 36 is used</x:v>
      </x:c>
      <x:c r="G45" s="15" t="str">
        <x:v>Payment row</x:v>
      </x:c>
      <x:c r="H45" s="15" t="str">
        <x:v>Specified</x:v>
      </x:c>
    </x:row>
    <x:row r="46" ht="46" customHeight="1">
      <x:c r="A46" s="12" t="str">
        <x:v>III</x:v>
      </x:c>
      <x:c r="B46" s="12" t="str">
        <x:v>III.36.date</x:v>
      </x:c>
      <x:c r="C46" s="12" t="str">
        <x:v>Cash / bank debit: Payment date</x:v>
      </x:c>
      <x:c r="D46" s="12" t="str">
        <x:v>Payment</x:v>
      </x:c>
      <x:c r="E46" s="12" t="str">
        <x:v>Payment evidence</x:v>
      </x:c>
      <x:c r="F46" s="12" t="str">
        <x:v>Record if method 36 is used</x:v>
      </x:c>
      <x:c r="G46" s="12" t="str">
        <x:v>Payment row</x:v>
      </x:c>
      <x:c r="H46" s="12" t="str">
        <x:v>Specified</x:v>
      </x:c>
    </x:row>
    <x:row r="47" ht="46" customHeight="1">
      <x:c r="A47" s="15" t="str">
        <x:v>III</x:v>
      </x:c>
      <x:c r="B47" s="15" t="str">
        <x:v>III.36.amount</x:v>
      </x:c>
      <x:c r="C47" s="15" t="str">
        <x:v>Cash / bank debit: Amount</x:v>
      </x:c>
      <x:c r="D47" s="15" t="str">
        <x:v>Payment</x:v>
      </x:c>
      <x:c r="E47" s="15" t="str">
        <x:v>Payment evidence</x:v>
      </x:c>
      <x:c r="F47" s="15" t="str">
        <x:v>Record if method 36 is used</x:v>
      </x:c>
      <x:c r="G47" s="15" t="str">
        <x:v>Payment row</x:v>
      </x:c>
      <x:c r="H47" s="15" t="str">
        <x:v>Specified</x:v>
      </x:c>
    </x:row>
    <x:row r="48" ht="46" customHeight="1">
      <x:c r="A48" s="12" t="str">
        <x:v>III</x:v>
      </x:c>
      <x:c r="B48" s="12" t="str">
        <x:v>III.37.bank</x:v>
      </x:c>
      <x:c r="C48" s="12" t="str">
        <x:v>Check: Drawee bank / agency</x:v>
      </x:c>
      <x:c r="D48" s="12" t="str">
        <x:v>Payment</x:v>
      </x:c>
      <x:c r="E48" s="12" t="str">
        <x:v>Payment evidence</x:v>
      </x:c>
      <x:c r="F48" s="12" t="str">
        <x:v>Record if method 37 is used</x:v>
      </x:c>
      <x:c r="G48" s="12" t="str">
        <x:v>Payment row</x:v>
      </x:c>
      <x:c r="H48" s="12" t="str">
        <x:v>Specified</x:v>
      </x:c>
    </x:row>
    <x:row r="49" ht="46" customHeight="1">
      <x:c r="A49" s="15" t="str">
        <x:v>III</x:v>
      </x:c>
      <x:c r="B49" s="15" t="str">
        <x:v>III.37.number</x:v>
      </x:c>
      <x:c r="C49" s="15" t="str">
        <x:v>Check: Reference number</x:v>
      </x:c>
      <x:c r="D49" s="15" t="str">
        <x:v>Payment</x:v>
      </x:c>
      <x:c r="E49" s="15" t="str">
        <x:v>Payment evidence</x:v>
      </x:c>
      <x:c r="F49" s="15" t="str">
        <x:v>Record if method 37 is used</x:v>
      </x:c>
      <x:c r="G49" s="15" t="str">
        <x:v>Payment row</x:v>
      </x:c>
      <x:c r="H49" s="15" t="str">
        <x:v>Specified</x:v>
      </x:c>
    </x:row>
    <x:row r="50" ht="46" customHeight="1">
      <x:c r="A50" s="12" t="str">
        <x:v>III</x:v>
      </x:c>
      <x:c r="B50" s="12" t="str">
        <x:v>III.37.date</x:v>
      </x:c>
      <x:c r="C50" s="12" t="str">
        <x:v>Check: Payment date</x:v>
      </x:c>
      <x:c r="D50" s="12" t="str">
        <x:v>Payment</x:v>
      </x:c>
      <x:c r="E50" s="12" t="str">
        <x:v>Payment evidence</x:v>
      </x:c>
      <x:c r="F50" s="12" t="str">
        <x:v>Record if method 37 is used</x:v>
      </x:c>
      <x:c r="G50" s="12" t="str">
        <x:v>Payment row</x:v>
      </x:c>
      <x:c r="H50" s="12" t="str">
        <x:v>Specified</x:v>
      </x:c>
    </x:row>
    <x:row r="51" ht="46" customHeight="1">
      <x:c r="A51" s="15" t="str">
        <x:v>III</x:v>
      </x:c>
      <x:c r="B51" s="15" t="str">
        <x:v>III.37.amount</x:v>
      </x:c>
      <x:c r="C51" s="15" t="str">
        <x:v>Check: Amount</x:v>
      </x:c>
      <x:c r="D51" s="15" t="str">
        <x:v>Payment</x:v>
      </x:c>
      <x:c r="E51" s="15" t="str">
        <x:v>Payment evidence</x:v>
      </x:c>
      <x:c r="F51" s="15" t="str">
        <x:v>Record if method 37 is used</x:v>
      </x:c>
      <x:c r="G51" s="15" t="str">
        <x:v>Payment row</x:v>
      </x:c>
      <x:c r="H51" s="15" t="str">
        <x:v>Specified</x:v>
      </x:c>
    </x:row>
    <x:row r="52" ht="46" customHeight="1">
      <x:c r="A52" s="12" t="str">
        <x:v>III</x:v>
      </x:c>
      <x:c r="B52" s="12" t="str">
        <x:v>III.38.bank</x:v>
      </x:c>
      <x:c r="C52" s="12" t="str">
        <x:v>Tax debit memo: Drawee bank / agency</x:v>
      </x:c>
      <x:c r="D52" s="12" t="str">
        <x:v>Payment</x:v>
      </x:c>
      <x:c r="E52" s="12" t="str">
        <x:v>Payment evidence</x:v>
      </x:c>
      <x:c r="F52" s="12" t="str">
        <x:v>Record if method 38 is used</x:v>
      </x:c>
      <x:c r="G52" s="12" t="str">
        <x:v>Payment row</x:v>
      </x:c>
      <x:c r="H52" s="12" t="str">
        <x:v>Specified</x:v>
      </x:c>
    </x:row>
    <x:row r="53" ht="46" customHeight="1">
      <x:c r="A53" s="15" t="str">
        <x:v>III</x:v>
      </x:c>
      <x:c r="B53" s="15" t="str">
        <x:v>III.38.number</x:v>
      </x:c>
      <x:c r="C53" s="15" t="str">
        <x:v>Tax debit memo: Reference number</x:v>
      </x:c>
      <x:c r="D53" s="15" t="str">
        <x:v>Payment</x:v>
      </x:c>
      <x:c r="E53" s="15" t="str">
        <x:v>Payment evidence</x:v>
      </x:c>
      <x:c r="F53" s="15" t="str">
        <x:v>Record if method 38 is used</x:v>
      </x:c>
      <x:c r="G53" s="15" t="str">
        <x:v>Payment row</x:v>
      </x:c>
      <x:c r="H53" s="15" t="str">
        <x:v>Specified</x:v>
      </x:c>
    </x:row>
    <x:row r="54" ht="46" customHeight="1">
      <x:c r="A54" s="12" t="str">
        <x:v>III</x:v>
      </x:c>
      <x:c r="B54" s="12" t="str">
        <x:v>III.38.date</x:v>
      </x:c>
      <x:c r="C54" s="12" t="str">
        <x:v>Tax debit memo: Payment date</x:v>
      </x:c>
      <x:c r="D54" s="12" t="str">
        <x:v>Payment</x:v>
      </x:c>
      <x:c r="E54" s="12" t="str">
        <x:v>Payment evidence</x:v>
      </x:c>
      <x:c r="F54" s="12" t="str">
        <x:v>Record if method 38 is used</x:v>
      </x:c>
      <x:c r="G54" s="12" t="str">
        <x:v>Payment row</x:v>
      </x:c>
      <x:c r="H54" s="12" t="str">
        <x:v>Specified</x:v>
      </x:c>
    </x:row>
    <x:row r="55" ht="46" customHeight="1">
      <x:c r="A55" s="15" t="str">
        <x:v>III</x:v>
      </x:c>
      <x:c r="B55" s="15" t="str">
        <x:v>III.38.amount</x:v>
      </x:c>
      <x:c r="C55" s="15" t="str">
        <x:v>Tax debit memo: Amount</x:v>
      </x:c>
      <x:c r="D55" s="15" t="str">
        <x:v>Payment</x:v>
      </x:c>
      <x:c r="E55" s="15" t="str">
        <x:v>Payment evidence</x:v>
      </x:c>
      <x:c r="F55" s="15" t="str">
        <x:v>Record if method 38 is used</x:v>
      </x:c>
      <x:c r="G55" s="15" t="str">
        <x:v>Payment row</x:v>
      </x:c>
      <x:c r="H55" s="15" t="str">
        <x:v>Specified</x:v>
      </x:c>
    </x:row>
    <x:row r="56" ht="46" customHeight="1">
      <x:c r="A56" s="12" t="str">
        <x:v>III</x:v>
      </x:c>
      <x:c r="B56" s="12" t="str">
        <x:v>III.39.bank</x:v>
      </x:c>
      <x:c r="C56" s="12" t="str">
        <x:v>Other payment: Drawee bank / agency</x:v>
      </x:c>
      <x:c r="D56" s="12" t="str">
        <x:v>Payment</x:v>
      </x:c>
      <x:c r="E56" s="12" t="str">
        <x:v>Payment evidence</x:v>
      </x:c>
      <x:c r="F56" s="12" t="str">
        <x:v>Record if method 39 is used</x:v>
      </x:c>
      <x:c r="G56" s="12" t="str">
        <x:v>Payment row</x:v>
      </x:c>
      <x:c r="H56" s="12" t="str">
        <x:v>Specified</x:v>
      </x:c>
    </x:row>
    <x:row r="57" ht="46" customHeight="1">
      <x:c r="A57" s="15" t="str">
        <x:v>III</x:v>
      </x:c>
      <x:c r="B57" s="15" t="str">
        <x:v>III.39.number</x:v>
      </x:c>
      <x:c r="C57" s="15" t="str">
        <x:v>Other payment: Reference number</x:v>
      </x:c>
      <x:c r="D57" s="15" t="str">
        <x:v>Payment</x:v>
      </x:c>
      <x:c r="E57" s="15" t="str">
        <x:v>Payment evidence</x:v>
      </x:c>
      <x:c r="F57" s="15" t="str">
        <x:v>Record if method 39 is used</x:v>
      </x:c>
      <x:c r="G57" s="15" t="str">
        <x:v>Payment row</x:v>
      </x:c>
      <x:c r="H57" s="15" t="str">
        <x:v>Specified</x:v>
      </x:c>
    </x:row>
    <x:row r="58" ht="46" customHeight="1">
      <x:c r="A58" s="12" t="str">
        <x:v>III</x:v>
      </x:c>
      <x:c r="B58" s="12" t="str">
        <x:v>III.39.date</x:v>
      </x:c>
      <x:c r="C58" s="12" t="str">
        <x:v>Other payment: Payment date</x:v>
      </x:c>
      <x:c r="D58" s="12" t="str">
        <x:v>Payment</x:v>
      </x:c>
      <x:c r="E58" s="12" t="str">
        <x:v>Payment evidence</x:v>
      </x:c>
      <x:c r="F58" s="12" t="str">
        <x:v>Record if method 39 is used</x:v>
      </x:c>
      <x:c r="G58" s="12" t="str">
        <x:v>Payment row</x:v>
      </x:c>
      <x:c r="H58" s="12" t="str">
        <x:v>Specified</x:v>
      </x:c>
    </x:row>
    <x:row r="59" ht="46" customHeight="1">
      <x:c r="A59" s="15" t="str">
        <x:v>III</x:v>
      </x:c>
      <x:c r="B59" s="15" t="str">
        <x:v>III.39.amount</x:v>
      </x:c>
      <x:c r="C59" s="15" t="str">
        <x:v>Other payment: Amount</x:v>
      </x:c>
      <x:c r="D59" s="15" t="str">
        <x:v>Payment</x:v>
      </x:c>
      <x:c r="E59" s="15" t="str">
        <x:v>Payment evidence</x:v>
      </x:c>
      <x:c r="F59" s="15" t="str">
        <x:v>Record if method 39 is used</x:v>
      </x:c>
      <x:c r="G59" s="15" t="str">
        <x:v>Payment row</x:v>
      </x:c>
      <x:c r="H59" s="15" t="str">
        <x:v>Specified</x:v>
      </x:c>
    </x:row>
    <x:row r="60" ht="46" customHeight="1">
      <x:c r="A60" s="12" t="str">
        <x:v>Payment receipt</x:v>
      </x:c>
      <x:c r="B60" s="12" t="str">
        <x:v>RECEIPT</x:v>
      </x:c>
      <x:c r="C60" s="12" t="str">
        <x:v>Validation / official receipt / stamp</x:v>
      </x:c>
      <x:c r="D60" s="12" t="str">
        <x:v>Evidence</x:v>
      </x:c>
      <x:c r="E60" s="12" t="str">
        <x:v>Filing confirmation</x:v>
      </x:c>
      <x:c r="F60" s="12" t="str">
        <x:v>BIR / bank completion</x:v>
      </x:c>
      <x:c r="G60" s="12" t="str">
        <x:v>Return</x:v>
      </x:c>
      <x:c r="H60" s="12" t="str">
        <x:v>Specified</x:v>
      </x:c>
    </x:row>
    <x:row r="61" ht="46" customHeight="1">
      <x:c r="A61" s="15" t="str">
        <x:v>IV</x:v>
      </x:c>
      <x:c r="B61" s="15" t="str">
        <x:v>IV.1</x:v>
      </x:c>
      <x:c r="C61" s="15" t="str">
        <x:v>Gross compensation income</x:v>
      </x:c>
      <x:c r="D61" s="15" t="str">
        <x:v>Owner 2316</x:v>
      </x:c>
      <x:c r="E61" s="15" t="str">
        <x:v>Own employers’ 2316 / income statements</x:v>
      </x:c>
      <x:c r="F61" s="15" t="str">
        <x:v>Not the business employer’s payroll</x:v>
      </x:c>
      <x:c r="G61" s="15" t="str">
        <x:v>Person A / B</x:v>
      </x:c>
      <x:c r="H61" s="15" t="str">
        <x:v>Specified</x:v>
      </x:c>
    </x:row>
    <x:row r="62" ht="46" customHeight="1">
      <x:c r="A62" s="12" t="str">
        <x:v>IV</x:v>
      </x:c>
      <x:c r="B62" s="12" t="str">
        <x:v>IV.2</x:v>
      </x:c>
      <x:c r="C62" s="12" t="str">
        <x:v>Non-taxable / exempt compensation</x:v>
      </x:c>
      <x:c r="D62" s="12" t="str">
        <x:v>Owner 2316</x:v>
      </x:c>
      <x:c r="E62" s="12" t="str">
        <x:v>Own 2316 non-taxable portion</x:v>
      </x:c>
      <x:c r="F62" s="12" t="str">
        <x:v>Not amounts paid to business employees</x:v>
      </x:c>
      <x:c r="G62" s="12" t="str">
        <x:v>Person A / B</x:v>
      </x:c>
      <x:c r="H62" s="12" t="str">
        <x:v>Specified</x:v>
      </x:c>
    </x:row>
    <x:row r="63" ht="46" customHeight="1">
      <x:c r="A63" s="15" t="str">
        <x:v>IV</x:v>
      </x:c>
      <x:c r="B63" s="15" t="str">
        <x:v>IV.3</x:v>
      </x:c>
      <x:c r="C63" s="15" t="str">
        <x:v>Taxable compensation</x:v>
      </x:c>
      <x:c r="D63" s="15" t="str">
        <x:v>Calculated</x:v>
      </x:c>
      <x:c r="E63" s="15" t="str">
        <x:v>IV.1 - IV.2</x:v>
      </x:c>
      <x:c r="F63" s="15" t="str">
        <x:v>Per person</x:v>
      </x:c>
      <x:c r="G63" s="15" t="str">
        <x:v>Person A / B</x:v>
      </x:c>
      <x:c r="H63" s="15" t="str">
        <x:v>Specified</x:v>
      </x:c>
    </x:row>
    <x:row r="64" ht="46" customHeight="1">
      <x:c r="A64" s="12" t="str">
        <x:v>IV</x:v>
      </x:c>
      <x:c r="B64" s="12" t="str">
        <x:v>IV.4</x:v>
      </x:c>
      <x:c r="C64" s="12" t="str">
        <x:v>Tax due on compensation</x:v>
      </x:c>
      <x:c r="D64" s="12" t="str">
        <x:v>Calculated</x:v>
      </x:c>
      <x:c r="E64" s="12" t="str">
        <x:v>Graduated tax schedule on IV.3</x:v>
      </x:c>
      <x:c r="F64" s="12" t="str">
        <x:v>Apply the progressive schedule, not one flat rate</x:v>
      </x:c>
      <x:c r="G64" s="12" t="str">
        <x:v>Person A / B</x:v>
      </x:c>
      <x:c r="H64" s="12" t="str">
        <x:v>Specified</x:v>
      </x:c>
    </x:row>
    <x:row r="65" ht="46" customHeight="1">
      <x:c r="A65" s="15" t="str">
        <x:v>IV</x:v>
      </x:c>
      <x:c r="B65" s="15" t="str">
        <x:v>IV.5</x:v>
      </x:c>
      <x:c r="C65" s="15" t="str">
        <x:v>Sales / revenues / fees</x:v>
      </x:c>
      <x:c r="D65" s="15" t="str">
        <x:v>Ledger + attributes</x:v>
      </x:c>
      <x:c r="E65" s="15" t="str">
        <x:v>Eligible gross business revenue; sales_revenue and related leaf accounts</x:v>
      </x:c>
      <x:c r="F65" s="15" t="str">
        <x:v>Exclude VAT and non-sales movements; annual</x:v>
      </x:c>
      <x:c r="G65" s="15" t="str">
        <x:v>Person A / B</x:v>
      </x:c>
      <x:c r="H65" s="15" t="str">
        <x:v>Specified</x:v>
      </x:c>
    </x:row>
    <x:row r="66" ht="46" customHeight="1">
      <x:c r="A66" s="12" t="str">
        <x:v>IV</x:v>
      </x:c>
      <x:c r="B66" s="12" t="str">
        <x:v>IV.6</x:v>
      </x:c>
      <x:c r="C66" s="12" t="str">
        <x:v>Sales returns, allowances and discounts</x:v>
      </x:c>
      <x:c r="D66" s="12" t="str">
        <x:v>Ledger + attributes</x:v>
      </x:c>
      <x:c r="E66" s="12" t="str">
        <x:v>refunds_and_discounts</x:v>
      </x:c>
      <x:c r="F66" s="12" t="str">
        <x:v>Linked to eligible sales; annual</x:v>
      </x:c>
      <x:c r="G66" s="12" t="str">
        <x:v>Person A / B</x:v>
      </x:c>
      <x:c r="H66" s="12" t="str">
        <x:v>Specified</x:v>
      </x:c>
    </x:row>
    <x:row r="67" ht="46" customHeight="1">
      <x:c r="A67" s="15" t="str">
        <x:v>IV</x:v>
      </x:c>
      <x:c r="B67" s="15" t="str">
        <x:v>IV.7</x:v>
      </x:c>
      <x:c r="C67" s="15" t="str">
        <x:v>Net sales / revenues / fees</x:v>
      </x:c>
      <x:c r="D67" s="15" t="str">
        <x:v>Calculated</x:v>
      </x:c>
      <x:c r="E67" s="15" t="str">
        <x:v>IV.5 - IV.6</x:v>
      </x:c>
      <x:c r="F67" s="15" t="str"/>
      <x:c r="G67" s="15" t="str">
        <x:v>Person A / B</x:v>
      </x:c>
      <x:c r="H67" s="15" t="str">
        <x:v>Specified</x:v>
      </x:c>
    </x:row>
    <x:row r="68" ht="46" customHeight="1">
      <x:c r="A68" s="12" t="str">
        <x:v>IV</x:v>
      </x:c>
      <x:c r="B68" s="12" t="str">
        <x:v>IV.8</x:v>
      </x:c>
      <x:c r="C68" s="12" t="str">
        <x:v>Cost of sales / services</x:v>
      </x:c>
      <x:c r="D68" s="12" t="str">
        <x:v>Ledger + tax review</x:v>
      </x:c>
      <x:c r="E68" s="12" t="str">
        <x:v>cost_of_goods_sold, direct service cost</x:v>
      </x:c>
      <x:c r="F68" s="12" t="str">
        <x:v>Itemized mode only</x:v>
      </x:c>
      <x:c r="G68" s="12" t="str">
        <x:v>Person A / B</x:v>
      </x:c>
      <x:c r="H68" s="12" t="str">
        <x:v>Specified</x:v>
      </x:c>
    </x:row>
    <x:row r="69" ht="46" customHeight="1">
      <x:c r="A69" s="15" t="str">
        <x:v>IV</x:v>
      </x:c>
      <x:c r="B69" s="15" t="str">
        <x:v>IV.9</x:v>
      </x:c>
      <x:c r="C69" s="15" t="str">
        <x:v>Gross income / loss from operation</x:v>
      </x:c>
      <x:c r="D69" s="15" t="str">
        <x:v>Calculated</x:v>
      </x:c>
      <x:c r="E69" s="15" t="str">
        <x:v>IV.7 - IV.8</x:v>
      </x:c>
      <x:c r="F69" s="15" t="str">
        <x:v>IV.8 omitted for OSD</x:v>
      </x:c>
      <x:c r="G69" s="15" t="str">
        <x:v>Person A / B</x:v>
      </x:c>
      <x:c r="H69" s="15" t="str">
        <x:v>Specified</x:v>
      </x:c>
    </x:row>
    <x:row r="70" ht="46" customHeight="1">
      <x:c r="A70" s="12" t="str">
        <x:v>IV</x:v>
      </x:c>
      <x:c r="B70" s="12" t="str">
        <x:v>IV.10A</x:v>
      </x:c>
      <x:c r="C70" s="12" t="str">
        <x:v>Ordinary allowable itemized deductions</x:v>
      </x:c>
      <x:c r="D70" s="12" t="str">
        <x:v>Ledger + tax review</x:v>
      </x:c>
      <x:c r="E70" s="12" t="str">
        <x:v>Eligible operating expenses and adjustments</x:v>
      </x:c>
      <x:c r="F70" s="12" t="str">
        <x:v>Only itemized; verify substantiation and limits</x:v>
      </x:c>
      <x:c r="G70" s="12" t="str">
        <x:v>Person A / B</x:v>
      </x:c>
      <x:c r="H70" s="12" t="str">
        <x:v>Specified</x:v>
      </x:c>
    </x:row>
    <x:row r="71" ht="46" customHeight="1">
      <x:c r="A71" s="15" t="str">
        <x:v>IV</x:v>
      </x:c>
      <x:c r="B71" s="15" t="str">
        <x:v>IV.10B</x:v>
      </x:c>
      <x:c r="C71" s="15" t="str">
        <x:v>Special allowable itemized deductions</x:v>
      </x:c>
      <x:c r="D71" s="15" t="str">
        <x:v>Tax schedule</x:v>
      </x:c>
      <x:c r="E71" s="15" t="str">
        <x:v>Specific eligible special deductions</x:v>
      </x:c>
      <x:c r="F71" s="15" t="str">
        <x:v>Only itemized and supported</x:v>
      </x:c>
      <x:c r="G71" s="15" t="str">
        <x:v>Person A / B</x:v>
      </x:c>
      <x:c r="H71" s="15" t="str">
        <x:v>Specified</x:v>
      </x:c>
    </x:row>
    <x:row r="72" ht="46" customHeight="1">
      <x:c r="A72" s="12" t="str">
        <x:v>IV</x:v>
      </x:c>
      <x:c r="B72" s="12" t="str">
        <x:v>IV.10C</x:v>
      </x:c>
      <x:c r="C72" s="12" t="str">
        <x:v>Net operating loss carryover</x:v>
      </x:c>
      <x:c r="D72" s="12" t="str">
        <x:v>Tax schedule</x:v>
      </x:c>
      <x:c r="E72" s="12" t="str">
        <x:v>Eligible loss vintages and utilization</x:v>
      </x:c>
      <x:c r="F72" s="12" t="str">
        <x:v>Eligibility and time limits</x:v>
      </x:c>
      <x:c r="G72" s="12" t="str">
        <x:v>Person A / B</x:v>
      </x:c>
      <x:c r="H72" s="12" t="str">
        <x:v>Specified</x:v>
      </x:c>
    </x:row>
    <x:row r="73" ht="46" customHeight="1">
      <x:c r="A73" s="15" t="str">
        <x:v>IV</x:v>
      </x:c>
      <x:c r="B73" s="15" t="str">
        <x:v>IV.10D</x:v>
      </x:c>
      <x:c r="C73" s="15" t="str">
        <x:v>Total allowable itemized deductions</x:v>
      </x:c>
      <x:c r="D73" s="15" t="str">
        <x:v>Calculated</x:v>
      </x:c>
      <x:c r="E73" s="15" t="str">
        <x:v>IV.10A + IV.10B + IV.10C</x:v>
      </x:c>
      <x:c r="F73" s="15" t="str">
        <x:v>Do not mix with OSD</x:v>
      </x:c>
      <x:c r="G73" s="15" t="str">
        <x:v>Person A / B</x:v>
      </x:c>
      <x:c r="H73" s="15" t="str">
        <x:v>Specified</x:v>
      </x:c>
    </x:row>
    <x:row r="74" ht="46" customHeight="1">
      <x:c r="A74" s="12" t="str">
        <x:v>IV</x:v>
      </x:c>
      <x:c r="B74" s="12" t="str">
        <x:v>IV.11</x:v>
      </x:c>
      <x:c r="C74" s="12" t="str">
        <x:v>Optional standard deduction</x:v>
      </x:c>
      <x:c r="D74" s="12" t="str">
        <x:v>Calculated</x:v>
      </x:c>
      <x:c r="E74" s="12" t="str">
        <x:v>40% of IV.7</x:v>
      </x:c>
      <x:c r="F74" s="12" t="str">
        <x:v>Only when OSD validly elected</x:v>
      </x:c>
      <x:c r="G74" s="12" t="str">
        <x:v>Person A / B</x:v>
      </x:c>
      <x:c r="H74" s="12" t="str">
        <x:v>Specified</x:v>
      </x:c>
    </x:row>
    <x:row r="75" ht="46" customHeight="1">
      <x:c r="A75" s="15" t="str">
        <x:v>IV</x:v>
      </x:c>
      <x:c r="B75" s="15" t="str">
        <x:v>IV.12</x:v>
      </x:c>
      <x:c r="C75" s="15" t="str">
        <x:v>Net income / loss</x:v>
      </x:c>
      <x:c r="D75" s="15" t="str">
        <x:v>Calculated</x:v>
      </x:c>
      <x:c r="E75" s="15" t="str">
        <x:v>Itemized: IV.9 - IV.10D; OSD: IV.9 - IV.11</x:v>
      </x:c>
      <x:c r="F75" s="15" t="str">
        <x:v>IV.8 not separately deducted with OSD</x:v>
      </x:c>
      <x:c r="G75" s="15" t="str">
        <x:v>Person A / B</x:v>
      </x:c>
      <x:c r="H75" s="15" t="str">
        <x:v>Specified</x:v>
      </x:c>
    </x:row>
    <x:row r="76" ht="46" customHeight="1">
      <x:c r="A76" s="12" t="str">
        <x:v>IV</x:v>
      </x:c>
      <x:c r="B76" s="12" t="str">
        <x:v>IV.13</x:v>
      </x:c>
      <x:c r="C76" s="12" t="str">
        <x:v>Other non-operating income</x:v>
      </x:c>
      <x:c r="D76" s="12" t="str">
        <x:v>Ledger + attributes</x:v>
      </x:c>
      <x:c r="E76" s="12" t="str">
        <x:v>other_non_operating_income</x:v>
      </x:c>
      <x:c r="F76" s="12" t="str">
        <x:v>Exclude income subject to final tax when appropriate</x:v>
      </x:c>
      <x:c r="G76" s="12" t="str">
        <x:v>Person A / B</x:v>
      </x:c>
      <x:c r="H76" s="12" t="str">
        <x:v>Specified</x:v>
      </x:c>
    </x:row>
    <x:row r="77" ht="46" customHeight="1">
      <x:c r="A77" s="15" t="str">
        <x:v>IV</x:v>
      </x:c>
      <x:c r="B77" s="15" t="str">
        <x:v>IV.14</x:v>
      </x:c>
      <x:c r="C77" s="15" t="str">
        <x:v>Taxable income - business</x:v>
      </x:c>
      <x:c r="D77" s="15" t="str">
        <x:v>Calculated</x:v>
      </x:c>
      <x:c r="E77" s="15" t="str">
        <x:v>IV.12 + IV.13</x:v>
      </x:c>
      <x:c r="F77" s="15" t="str">
        <x:v>Apply relevant rules for losses</x:v>
      </x:c>
      <x:c r="G77" s="15" t="str">
        <x:v>Person A / B</x:v>
      </x:c>
      <x:c r="H77" s="15" t="str">
        <x:v>Specified</x:v>
      </x:c>
    </x:row>
    <x:row r="78" ht="46" customHeight="1">
      <x:c r="A78" s="12" t="str">
        <x:v>IV</x:v>
      </x:c>
      <x:c r="B78" s="12" t="str">
        <x:v>IV.15</x:v>
      </x:c>
      <x:c r="C78" s="12" t="str">
        <x:v>Taxable compensation and business income</x:v>
      </x:c>
      <x:c r="D78" s="12" t="str">
        <x:v>Calculated</x:v>
      </x:c>
      <x:c r="E78" s="12" t="str">
        <x:v>IV.3 + IV.14</x:v>
      </x:c>
      <x:c r="F78" s="12" t="str">
        <x:v>Graduated pathway</x:v>
      </x:c>
      <x:c r="G78" s="12" t="str">
        <x:v>Person A / B</x:v>
      </x:c>
      <x:c r="H78" s="12" t="str">
        <x:v>Specified</x:v>
      </x:c>
    </x:row>
    <x:row r="79" ht="46" customHeight="1">
      <x:c r="A79" s="15" t="str">
        <x:v>IV</x:v>
      </x:c>
      <x:c r="B79" s="15" t="str">
        <x:v>IV.16</x:v>
      </x:c>
      <x:c r="C79" s="15" t="str">
        <x:v>Special / preferential rate</x:v>
      </x:c>
      <x:c r="D79" s="15" t="str">
        <x:v>Reference data</x:v>
      </x:c>
      <x:c r="E79" s="15" t="str">
        <x:v>Relief profile / rate version</x:v>
      </x:c>
      <x:c r="F79" s="15" t="str">
        <x:v>Only special / exempt path</x:v>
      </x:c>
      <x:c r="G79" s="15" t="str">
        <x:v>Person A / B</x:v>
      </x:c>
      <x:c r="H79" s="15" t="str">
        <x:v>Specified</x:v>
      </x:c>
    </x:row>
    <x:row r="80" ht="46" customHeight="1">
      <x:c r="A80" s="12" t="str">
        <x:v>IV</x:v>
      </x:c>
      <x:c r="B80" s="12" t="str">
        <x:v>IV.17</x:v>
      </x:c>
      <x:c r="C80" s="12" t="str">
        <x:v>Special / preferential / exempt tax due</x:v>
      </x:c>
      <x:c r="D80" s="12" t="str">
        <x:v>Manual review / calculation</x:v>
      </x:c>
      <x:c r="E80" s="12" t="str">
        <x:v>IV.9 or IV.14 × applicable IV.16 per form</x:v>
      </x:c>
      <x:c r="F80" s="12" t="str">
        <x:v>Read precise law and form instructions</x:v>
      </x:c>
      <x:c r="G80" s="12" t="str">
        <x:v>Person A / B</x:v>
      </x:c>
      <x:c r="H80" s="12" t="str">
        <x:v>Specified</x:v>
      </x:c>
    </x:row>
    <x:row r="81" ht="46" customHeight="1">
      <x:c r="A81" s="15" t="str">
        <x:v>IV</x:v>
      </x:c>
      <x:c r="B81" s="15" t="str">
        <x:v>IV.18A</x:v>
      </x:c>
      <x:c r="C81" s="15" t="str">
        <x:v>Total special / exempt + compensation tax</x:v>
      </x:c>
      <x:c r="D81" s="15" t="str">
        <x:v>Calculated</x:v>
      </x:c>
      <x:c r="E81" s="15" t="str">
        <x:v>IV.4 + IV.17</x:v>
      </x:c>
      <x:c r="F81" s="15" t="str">
        <x:v>Feeds II.19</x:v>
      </x:c>
      <x:c r="G81" s="15" t="str">
        <x:v>Person A / B</x:v>
      </x:c>
      <x:c r="H81" s="15" t="str">
        <x:v>Specified</x:v>
      </x:c>
    </x:row>
    <x:row r="82" ht="46" customHeight="1">
      <x:c r="A82" s="12" t="str">
        <x:v>IV</x:v>
      </x:c>
      <x:c r="B82" s="12" t="str">
        <x:v>IV.18B</x:v>
      </x:c>
      <x:c r="C82" s="12" t="str">
        <x:v>Total tax due under graduated rates</x:v>
      </x:c>
      <x:c r="D82" s="12" t="str">
        <x:v>Calculated</x:v>
      </x:c>
      <x:c r="E82" s="12" t="str">
        <x:v>Graduated schedule applied to IV.15</x:v>
      </x:c>
      <x:c r="F82" s="12" t="str">
        <x:v>Feeds II.22; progressive brackets</x:v>
      </x:c>
      <x:c r="G82" s="12" t="str">
        <x:v>Person A / B</x:v>
      </x:c>
      <x:c r="H82" s="12" t="str">
        <x:v>Specified</x:v>
      </x:c>
    </x:row>
    <x:row r="83" ht="46" customHeight="1">
      <x:c r="A83" s="15" t="str">
        <x:v>IV</x:v>
      </x:c>
      <x:c r="B83" s="15" t="str">
        <x:v>IV.19</x:v>
      </x:c>
      <x:c r="C83" s="15" t="str">
        <x:v>8%: net sales / revenues / fees</x:v>
      </x:c>
      <x:c r="D83" s="15" t="str">
        <x:v>Ledger + attributes</x:v>
      </x:c>
      <x:c r="E83" s="15" t="str">
        <x:v>Eligible sales minus returns</x:v>
      </x:c>
      <x:c r="F83" s="15" t="str">
        <x:v>8% pathway only</x:v>
      </x:c>
      <x:c r="G83" s="15" t="str">
        <x:v>Person A / B</x:v>
      </x:c>
      <x:c r="H83" s="15" t="str">
        <x:v>Specified</x:v>
      </x:c>
    </x:row>
    <x:row r="84" ht="46" customHeight="1">
      <x:c r="A84" s="12" t="str">
        <x:v>IV</x:v>
      </x:c>
      <x:c r="B84" s="12" t="str">
        <x:v>IV.20</x:v>
      </x:c>
      <x:c r="C84" s="12" t="str">
        <x:v>8%: other non-operating income</x:v>
      </x:c>
      <x:c r="D84" s="12" t="str">
        <x:v>Ledger + attributes</x:v>
      </x:c>
      <x:c r="E84" s="12" t="str">
        <x:v>Eligible other non-operating income</x:v>
      </x:c>
      <x:c r="F84" s="12" t="str">
        <x:v>8% pathway only</x:v>
      </x:c>
      <x:c r="G84" s="12" t="str">
        <x:v>Person A / B</x:v>
      </x:c>
      <x:c r="H84" s="12" t="str">
        <x:v>Specified</x:v>
      </x:c>
    </x:row>
    <x:row r="85" ht="46" customHeight="1">
      <x:c r="A85" s="15" t="str">
        <x:v>IV</x:v>
      </x:c>
      <x:c r="B85" s="15" t="str">
        <x:v>IV.21</x:v>
      </x:c>
      <x:c r="C85" s="15" t="str">
        <x:v>8%: total income</x:v>
      </x:c>
      <x:c r="D85" s="15" t="str">
        <x:v>Calculated</x:v>
      </x:c>
      <x:c r="E85" s="15" t="str">
        <x:v>IV.19 + IV.20</x:v>
      </x:c>
      <x:c r="F85" s="15" t="str"/>
      <x:c r="G85" s="15" t="str">
        <x:v>Person A / B</x:v>
      </x:c>
      <x:c r="H85" s="15" t="str">
        <x:v>Specified</x:v>
      </x:c>
    </x:row>
    <x:row r="86" ht="46" customHeight="1">
      <x:c r="A86" s="12" t="str">
        <x:v>IV</x:v>
      </x:c>
      <x:c r="B86" s="12" t="str">
        <x:v>IV.22</x:v>
      </x:c>
      <x:c r="C86" s="12" t="str">
        <x:v>8%: pure-business reduction</x:v>
      </x:c>
      <x:c r="D86" s="12" t="str">
        <x:v>Election / calculation</x:v>
      </x:c>
      <x:c r="E86" s="12" t="str">
        <x:v>250000 if eligible and purely self-employed</x:v>
      </x:c>
      <x:c r="F86" s="12" t="str">
        <x:v>No reduction on mixed-income 8% component</x:v>
      </x:c>
      <x:c r="G86" s="12" t="str">
        <x:v>Person A / B</x:v>
      </x:c>
      <x:c r="H86" s="12" t="str">
        <x:v>Specified</x:v>
      </x:c>
    </x:row>
    <x:row r="87" ht="46" customHeight="1">
      <x:c r="A87" s="15" t="str">
        <x:v>IV</x:v>
      </x:c>
      <x:c r="B87" s="15" t="str">
        <x:v>IV.23</x:v>
      </x:c>
      <x:c r="C87" s="15" t="str">
        <x:v>8%: taxable income / loss</x:v>
      </x:c>
      <x:c r="D87" s="15" t="str">
        <x:v>Calculated</x:v>
      </x:c>
      <x:c r="E87" s="15" t="str">
        <x:v>IV.21 - IV.22</x:v>
      </x:c>
      <x:c r="F87" s="15" t="str">
        <x:v>Handle below-zero result per current instructions</x:v>
      </x:c>
      <x:c r="G87" s="15" t="str">
        <x:v>Person A / B</x:v>
      </x:c>
      <x:c r="H87" s="15" t="str">
        <x:v>Specified</x:v>
      </x:c>
    </x:row>
    <x:row r="88" ht="46" customHeight="1">
      <x:c r="A88" s="12" t="str">
        <x:v>IV</x:v>
      </x:c>
      <x:c r="B88" s="12" t="str">
        <x:v>IV.24</x:v>
      </x:c>
      <x:c r="C88" s="12" t="str">
        <x:v>8%: business income tax</x:v>
      </x:c>
      <x:c r="D88" s="12" t="str">
        <x:v>Calculated</x:v>
      </x:c>
      <x:c r="E88" s="12" t="str">
        <x:v>Applicable 8% × IV.23</x:v>
      </x:c>
      <x:c r="F88" s="12" t="str">
        <x:v>No negative tax; review zero handling</x:v>
      </x:c>
      <x:c r="G88" s="12" t="str">
        <x:v>Person A / B</x:v>
      </x:c>
      <x:c r="H88" s="12" t="str">
        <x:v>Specified</x:v>
      </x:c>
    </x:row>
    <x:row r="89" ht="46" customHeight="1">
      <x:c r="A89" s="15" t="str">
        <x:v>IV</x:v>
      </x:c>
      <x:c r="B89" s="15" t="str">
        <x:v>IV.25</x:v>
      </x:c>
      <x:c r="C89" s="15" t="str">
        <x:v>8%: total compensation + business tax</x:v>
      </x:c>
      <x:c r="D89" s="15" t="str">
        <x:v>Calculated</x:v>
      </x:c>
      <x:c r="E89" s="15" t="str">
        <x:v>IV.4 + IV.24</x:v>
      </x:c>
      <x:c r="F89" s="15" t="str">
        <x:v>Feeds II.22</x:v>
      </x:c>
      <x:c r="G89" s="15" t="str">
        <x:v>Person A / B</x:v>
      </x:c>
      <x:c r="H89" s="15" t="str">
        <x:v>Specified</x:v>
      </x:c>
    </x:row>
    <x:row r="90" ht="46" customHeight="1">
      <x:c r="A90" s="12" t="str">
        <x:v>V</x:v>
      </x:c>
      <x:c r="B90" s="12" t="str">
        <x:v>V.1</x:v>
      </x:c>
      <x:c r="C90" s="12" t="str">
        <x:v>Prior year excess credits</x:v>
      </x:c>
      <x:c r="D90" s="12" t="str">
        <x:v>Tax credit</x:v>
      </x:c>
      <x:c r="E90" s="12" t="str">
        <x:v>Prior-year final return</x:v>
      </x:c>
      <x:c r="F90" s="12" t="str">
        <x:v>Carryover must be eligible</x:v>
      </x:c>
      <x:c r="G90" s="12" t="str">
        <x:v>Person A / B</x:v>
      </x:c>
      <x:c r="H90" s="12" t="str">
        <x:v>Specified</x:v>
      </x:c>
    </x:row>
    <x:row r="91" ht="46" customHeight="1">
      <x:c r="A91" s="15" t="str">
        <x:v>V</x:v>
      </x:c>
      <x:c r="B91" s="15" t="str">
        <x:v>V.2</x:v>
      </x:c>
      <x:c r="C91" s="15" t="str">
        <x:v>Tax payments for first three quarters</x:v>
      </x:c>
      <x:c r="D91" s="15" t="str">
        <x:v>Tax payments</x:v>
      </x:c>
      <x:c r="E91" s="15" t="str">
        <x:v>1701Q payment proofs</x:v>
      </x:c>
      <x:c r="F91" s="15" t="str">
        <x:v>Avoid including withholding twice</x:v>
      </x:c>
      <x:c r="G91" s="15" t="str">
        <x:v>Person A / B</x:v>
      </x:c>
      <x:c r="H91" s="15" t="str">
        <x:v>Specified</x:v>
      </x:c>
    </x:row>
    <x:row r="92" ht="46" customHeight="1">
      <x:c r="A92" s="12" t="str">
        <x:v>V</x:v>
      </x:c>
      <x:c r="B92" s="12" t="str">
        <x:v>V.3</x:v>
      </x:c>
      <x:c r="C92" s="12" t="str">
        <x:v>Creditable tax withheld for first three quarters</x:v>
      </x:c>
      <x:c r="D92" s="12" t="str">
        <x:v>2307 / 1606</x:v>
      </x:c>
      <x:c r="E92" s="12" t="str">
        <x:v>Eligible income-tax withholding Q1–Q3</x:v>
      </x:c>
      <x:c r="F92" s="12" t="str">
        <x:v>Match gross income and certificates</x:v>
      </x:c>
      <x:c r="G92" s="12" t="str">
        <x:v>Person A / B</x:v>
      </x:c>
      <x:c r="H92" s="12" t="str">
        <x:v>Specified</x:v>
      </x:c>
    </x:row>
    <x:row r="93" ht="46" customHeight="1">
      <x:c r="A93" s="15" t="str">
        <x:v>V</x:v>
      </x:c>
      <x:c r="B93" s="15" t="str">
        <x:v>V.4</x:v>
      </x:c>
      <x:c r="C93" s="15" t="str">
        <x:v>Creditable tax withheld for fourth quarter</x:v>
      </x:c>
      <x:c r="D93" s="15" t="str">
        <x:v>2307 / 1606</x:v>
      </x:c>
      <x:c r="E93" s="15" t="str">
        <x:v>Eligible income-tax withholding Q4</x:v>
      </x:c>
      <x:c r="F93" s="15" t="str">
        <x:v>Do not use percentage tax withheld</x:v>
      </x:c>
      <x:c r="G93" s="15" t="str">
        <x:v>Person A / B</x:v>
      </x:c>
      <x:c r="H93" s="15" t="str">
        <x:v>Specified</x:v>
      </x:c>
    </x:row>
    <x:row r="94" ht="46" customHeight="1">
      <x:c r="A94" s="12" t="str">
        <x:v>V</x:v>
      </x:c>
      <x:c r="B94" s="12" t="str">
        <x:v>V.5</x:v>
      </x:c>
      <x:c r="C94" s="12" t="str">
        <x:v>Creditable tax withheld per 2316</x:v>
      </x:c>
      <x:c r="D94" s="12" t="str">
        <x:v>2316</x:v>
      </x:c>
      <x:c r="E94" s="12" t="str">
        <x:v>Taxpayer / spouse employer certificate</x:v>
      </x:c>
      <x:c r="F94" s="12" t="str">
        <x:v>Own salary, not business employees</x:v>
      </x:c>
      <x:c r="G94" s="12" t="str">
        <x:v>Person A / B</x:v>
      </x:c>
      <x:c r="H94" s="12" t="str">
        <x:v>Specified</x:v>
      </x:c>
    </x:row>
    <x:row r="95" ht="46" customHeight="1">
      <x:c r="A95" s="15" t="str">
        <x:v>V</x:v>
      </x:c>
      <x:c r="B95" s="15" t="str">
        <x:v>V.6</x:v>
      </x:c>
      <x:c r="C95" s="15" t="str">
        <x:v>Tax paid on prior return if amended</x:v>
      </x:c>
      <x:c r="D95" s="15" t="str">
        <x:v>Tax payments</x:v>
      </x:c>
      <x:c r="E95" s="15" t="str">
        <x:v>Prior annual return payment</x:v>
      </x:c>
      <x:c r="F95" s="15" t="str">
        <x:v>Only amended return</x:v>
      </x:c>
      <x:c r="G95" s="15" t="str">
        <x:v>Person A / B</x:v>
      </x:c>
      <x:c r="H95" s="15" t="str">
        <x:v>Specified</x:v>
      </x:c>
    </x:row>
    <x:row r="96" ht="46" customHeight="1">
      <x:c r="A96" s="12" t="str">
        <x:v>V</x:v>
      </x:c>
      <x:c r="B96" s="12" t="str">
        <x:v>V.7</x:v>
      </x:c>
      <x:c r="C96" s="12" t="str">
        <x:v>Foreign tax credits + foreign tax number</x:v>
      </x:c>
      <x:c r="D96" s="12" t="str">
        <x:v>Tax credit</x:v>
      </x:c>
      <x:c r="E96" s="12" t="str">
        <x:v>Foreign tax evidence</x:v>
      </x:c>
      <x:c r="F96" s="12" t="str">
        <x:v>Limits and eligibility require review</x:v>
      </x:c>
      <x:c r="G96" s="12" t="str">
        <x:v>Person A / B</x:v>
      </x:c>
      <x:c r="H96" s="12" t="str">
        <x:v>Specified</x:v>
      </x:c>
    </x:row>
    <x:row r="97" ht="46" customHeight="1">
      <x:c r="A97" s="15" t="str">
        <x:v>V</x:v>
      </x:c>
      <x:c r="B97" s="15" t="str">
        <x:v>V.8</x:v>
      </x:c>
      <x:c r="C97" s="15" t="str">
        <x:v>Special tax credits</x:v>
      </x:c>
      <x:c r="D97" s="15" t="str">
        <x:v>Tax credit</x:v>
      </x:c>
      <x:c r="E97" s="15" t="str">
        <x:v>Special-credit authority and evidence</x:v>
      </x:c>
      <x:c r="F97" s="15" t="str">
        <x:v>When eligible</x:v>
      </x:c>
      <x:c r="G97" s="15" t="str">
        <x:v>Person A / B</x:v>
      </x:c>
      <x:c r="H97" s="15" t="str">
        <x:v>Specified</x:v>
      </x:c>
    </x:row>
    <x:row r="98" ht="46" customHeight="1">
      <x:c r="A98" s="12" t="str">
        <x:v>V</x:v>
      </x:c>
      <x:c r="B98" s="12" t="str">
        <x:v>V.9</x:v>
      </x:c>
      <x:c r="C98" s="12" t="str">
        <x:v>Other tax credits/payments + description</x:v>
      </x:c>
      <x:c r="D98" s="12" t="str">
        <x:v>Tax credit</x:v>
      </x:c>
      <x:c r="E98" s="12" t="str">
        <x:v>Specific proof</x:v>
      </x:c>
      <x:c r="F98" s="12" t="str">
        <x:v>Avoid double counting</x:v>
      </x:c>
      <x:c r="G98" s="12" t="str">
        <x:v>Person A / B</x:v>
      </x:c>
      <x:c r="H98" s="12" t="str">
        <x:v>Specified</x:v>
      </x:c>
    </x:row>
    <x:row r="99" ht="46" customHeight="1">
      <x:c r="A99" s="15" t="str">
        <x:v>V</x:v>
      </x:c>
      <x:c r="B99" s="15" t="str">
        <x:v>V.10</x:v>
      </x:c>
      <x:c r="C99" s="15" t="str">
        <x:v>Total tax credits and payments</x:v>
      </x:c>
      <x:c r="D99" s="15" t="str">
        <x:v>Calculated</x:v>
      </x:c>
      <x:c r="E99" s="15" t="str">
        <x:v>Sum V.1 through V.9</x:v>
      </x:c>
      <x:c r="F99" s="15" t="str">
        <x:v>Feeds II.24</x:v>
      </x:c>
      <x:c r="G99" s="15" t="str">
        <x:v>Person A / B</x:v>
      </x:c>
      <x:c r="H99" s="15" t="str">
        <x:v>Specified</x:v>
      </x:c>
    </x:row>
    <x:row r="100" ht="46" customHeight="1">
      <x:c r="A100" s="12" t="str">
        <x:v>VI</x:v>
      </x:c>
      <x:c r="B100" s="12" t="str">
        <x:v>VI.1</x:v>
      </x:c>
      <x:c r="C100" s="12" t="str">
        <x:v>Total tax relief availment</x:v>
      </x:c>
      <x:c r="D100" s="12" t="str">
        <x:v>BIR use only</x:v>
      </x:c>
      <x:c r="E100" s="12" t="str">
        <x:v>Relief computation</x:v>
      </x:c>
      <x:c r="F100" s="12" t="str">
        <x:v>Form marks this section for BIR use only</x:v>
      </x:c>
      <x:c r="G100" s="12" t="str">
        <x:v>Person A / B</x:v>
      </x:c>
      <x:c r="H100" s="12" t="str">
        <x:v>BIR only</x:v>
      </x:c>
    </x:row>
  </x:sheetData>
  <x:pageMargins left="0.7" right="0.7" top="0.75" bottom="0.75" header="0.3" footer="0.3"/>
  <x:tableParts count="1">
    <x:tablePart xmlns:r="http://schemas.openxmlformats.org/officeDocument/2006/relationships" r:id="R55cf403135a34cf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9" hidden="0" customWidth="1"/>
    <x:col min="3" max="3" width="22" hidden="0" customWidth="1"/>
    <x:col min="4" max="4" width="56" hidden="0" customWidth="1"/>
  </x:cols>
  <x:sheetData>
    <x:row r="1" ht="24" customHeight="1">
      <x:c r="A1" s="1" t="str">
        <x:v>Worked example: selected form fields</x:v>
      </x:c>
    </x:row>
    <x:row r="2" ht="24" customHeight="1">
      <x:c r="A2" s="2" t="str">
        <x:v>Fictional individual, graduated rates with OSD, Section 116 percentage tax, and one employee.</x:v>
      </x:c>
    </x:row>
    <x:row r="3" ht="24" customHeight="1">
      <x:c r="A3" s="3" t="str">
        <x:v>Quarter 3 and September 2026; annual return covers all 2026 including a hypothetical Q4. Linked to Example data, not Profile.</x:v>
      </x:c>
    </x:row>
    <x:row r="5" ht="25" customHeight="1">
      <x:c r="A5" s="5" t="str">
        <x:v>Form / field</x:v>
      </x:c>
      <x:c r="B5" s="5" t="str">
        <x:v>Field or step</x:v>
      </x:c>
      <x:c r="C5" s="5" t="str">
        <x:v>Amount / value</x:v>
      </x:c>
      <x:c r="D5" s="5" t="str">
        <x:v>Source / interpretation</x:v>
      </x:c>
    </x:row>
    <x:row r="6" ht="25" customHeight="1">
      <x:c r="A6" s="6" t="str">
        <x:v>2551Q S1.1.ATC</x:v>
      </x:c>
      <x:c r="B6" s="6" t="str">
        <x:v>Tax code</x:v>
      </x:c>
      <x:c r="C6" s="24" t="str">
        <x:v>PT010</x:v>
      </x:c>
      <x:c r="D6" s="6" t="str">
        <x:v>Example assumption, Section 116</x:v>
      </x:c>
    </x:row>
    <x:row r="7" ht="25" customHeight="1">
      <x:c r="A7" s="6" t="str">
        <x:v>2551Q S1.1.base</x:v>
      </x:c>
      <x:c r="B7" s="6" t="str">
        <x:v>Q3 taxable sales</x:v>
      </x:c>
      <x:c r="C7" s="24" t="n">
        <x:f>SUMIFS('Example data'!$F$6:$F$12,'Example data'!$B$6:$B$12,2026,'Example data'!$C$6:$C$12,3,'Example data'!$D$6:$D$12,"Sale",'Example data'!$G$6:$G$12,"PT010")-SUMIFS('Example data'!$F$6:$F$12,'Example data'!$B$6:$B$12,2026,'Example data'!$C$6:$C$12,3,'Example data'!$D$6:$D$12,"Return",'Example data'!$G$6:$G$12,"PT010")</x:f>
        <x:v>290000</x:v>
      </x:c>
      <x:c r="D7" s="6" t="str">
        <x:v>Q3 sale minus eligible return</x:v>
      </x:c>
    </x:row>
    <x:row r="8" ht="25" customHeight="1">
      <x:c r="A8" s="6" t="str">
        <x:v>2551Q S1.1.rate</x:v>
      </x:c>
      <x:c r="B8" s="6" t="str">
        <x:v>Percentage tax rate</x:v>
      </x:c>
      <x:c r="C8" s="21" t="n">
        <x:f>'Example data'!B22</x:f>
        <x:v>0.03</x:v>
      </x:c>
      <x:c r="D8" s="6" t="str">
        <x:v>Example effective rate</x:v>
      </x:c>
    </x:row>
    <x:row r="9" ht="25" customHeight="1">
      <x:c r="A9" s="6" t="str">
        <x:v>2551Q S1.1.tax</x:v>
      </x:c>
      <x:c r="B9" s="6" t="str">
        <x:v>Percentage tax due</x:v>
      </x:c>
      <x:c r="C9" s="24" t="n">
        <x:f>C7*C8</x:f>
        <x:v>8700</x:v>
      </x:c>
      <x:c r="D9" s="6" t="str">
        <x:v>Base × rate</x:v>
      </x:c>
    </x:row>
    <x:row r="10" ht="25" customHeight="1">
      <x:c r="A10" s="6" t="str">
        <x:v>2551Q II.15</x:v>
      </x:c>
      <x:c r="B10" s="6" t="str">
        <x:v>Percentage tax withheld</x:v>
      </x:c>
      <x:c r="C10" s="24" t="n">
        <x:f>'Example data'!B21</x:f>
        <x:v>0</x:v>
      </x:c>
      <x:c r="D10" s="6" t="str">
        <x:v>Not the income-tax withholding on invoices</x:v>
      </x:c>
    </x:row>
    <x:row r="11" ht="25" customHeight="1">
      <x:c r="A11" s="6" t="str">
        <x:v>2551Q II.18</x:v>
      </x:c>
      <x:c r="B11" s="6" t="str">
        <x:v>Total credits / payments</x:v>
      </x:c>
      <x:c r="C11" s="24" t="n">
        <x:f>C10</x:f>
        <x:v>0</x:v>
      </x:c>
      <x:c r="D11" s="6" t="str">
        <x:v>Only percentage-tax credit in this example</x:v>
      </x:c>
    </x:row>
    <x:row r="12" ht="25" customHeight="1">
      <x:c r="A12" s="23" t="str">
        <x:v>2551Q II.24</x:v>
      </x:c>
      <x:c r="B12" s="23" t="str">
        <x:v>Amount payable</x:v>
      </x:c>
      <x:c r="C12" s="25" t="n">
        <x:f>C9-C11</x:f>
        <x:v>8700</x:v>
      </x:c>
      <x:c r="D12" s="23" t="str">
        <x:v>Tax due minus applicable credits</x:v>
      </x:c>
    </x:row>
    <x:row r="13" ht="25" customHeight="1">
      <x:c r="A13" s="6"/>
      <x:c r="B13" s="6"/>
      <x:c r="C13" s="24"/>
      <x:c r="D13" s="6"/>
    </x:row>
    <x:row r="14" ht="25" customHeight="1">
      <x:c r="A14" s="6" t="str">
        <x:v>1601-C II.14</x:v>
      </x:c>
      <x:c r="B14" s="6" t="str">
        <x:v>Total compensation</x:v>
      </x:c>
      <x:c r="C14" s="24" t="n">
        <x:f>'Example data'!D17+'Example data'!E17</x:f>
        <x:v>42000</x:v>
      </x:c>
      <x:c r="D14" s="6" t="str">
        <x:v>Basic gross plus exempt benefits</x:v>
      </x:c>
    </x:row>
    <x:row r="15" ht="25" customHeight="1">
      <x:c r="A15" s="6" t="str">
        <x:v>1601-C II.18</x:v>
      </x:c>
      <x:c r="B15" s="6" t="str">
        <x:v>Exempt de minimis</x:v>
      </x:c>
      <x:c r="C15" s="24" t="n">
        <x:f>'Example data'!E17</x:f>
        <x:v>2000</x:v>
      </x:c>
      <x:c r="D15" s="6" t="str">
        <x:v>Employee payroll record</x:v>
      </x:c>
    </x:row>
    <x:row r="16" ht="25" customHeight="1">
      <x:c r="A16" s="6" t="str">
        <x:v>1601-C II.19</x:v>
      </x:c>
      <x:c r="B16" s="6" t="str">
        <x:v>Employee mandatory contributions</x:v>
      </x:c>
      <x:c r="C16" s="24" t="n">
        <x:f>'Example data'!F17</x:f>
        <x:v>2000</x:v>
      </x:c>
      <x:c r="D16" s="6" t="str">
        <x:v>Employee share; employer share excluded</x:v>
      </x:c>
    </x:row>
    <x:row r="17" ht="25" customHeight="1">
      <x:c r="A17" s="6" t="str">
        <x:v>1601-C II.21</x:v>
      </x:c>
      <x:c r="B17" s="6" t="str">
        <x:v>Total non-taxable compensation</x:v>
      </x:c>
      <x:c r="C17" s="24" t="n">
        <x:f>C15+C16</x:f>
        <x:v>4000</x:v>
      </x:c>
      <x:c r="D17" s="6" t="str">
        <x:v>Only II.18 and II.19 in this example</x:v>
      </x:c>
    </x:row>
    <x:row r="18" ht="25" customHeight="1">
      <x:c r="A18" s="6" t="str">
        <x:v>1601-C II.22</x:v>
      </x:c>
      <x:c r="B18" s="6" t="str">
        <x:v>Total taxable compensation</x:v>
      </x:c>
      <x:c r="C18" s="24" t="n">
        <x:f>C14-C17</x:f>
        <x:v>38000</x:v>
      </x:c>
      <x:c r="D18" s="6" t="str">
        <x:v>Gross less non-taxable</x:v>
      </x:c>
    </x:row>
    <x:row r="19" ht="25" customHeight="1">
      <x:c r="A19" s="6" t="str">
        <x:v>1601-C II.23</x:v>
      </x:c>
      <x:c r="B19" s="6" t="str">
        <x:v>Taxable pay not subject to withholding</x:v>
      </x:c>
      <x:c r="C19" s="24" t="n">
        <x:f>'Example data'!G17</x:f>
        <x:v>0</x:v>
      </x:c>
      <x:c r="D19" s="6" t="str">
        <x:v>Assumed zero for this employee</x:v>
      </x:c>
    </x:row>
    <x:row r="20" ht="25" customHeight="1">
      <x:c r="A20" s="6" t="str">
        <x:v>1601-C II.24</x:v>
      </x:c>
      <x:c r="B20" s="6" t="str">
        <x:v>Net taxable compensation</x:v>
      </x:c>
      <x:c r="C20" s="24" t="n">
        <x:f>C18-C19</x:f>
        <x:v>38000</x:v>
      </x:c>
      <x:c r="D20" s="6" t="str">
        <x:v>II.22 less II.23</x:v>
      </x:c>
    </x:row>
    <x:row r="21" ht="25" customHeight="1">
      <x:c r="A21" s="6" t="str">
        <x:v>1601-C II.25</x:v>
      </x:c>
      <x:c r="B21" s="6" t="str">
        <x:v>Income tax withheld</x:v>
      </x:c>
      <x:c r="C21" s="24" t="n">
        <x:f>'Example data'!H17</x:f>
        <x:v>2808.4</x:v>
      </x:c>
      <x:c r="D21" s="6" t="str">
        <x:v>From payroll; not recomputed here</x:v>
      </x:c>
    </x:row>
    <x:row r="22" ht="25" customHeight="1">
      <x:c r="A22" s="6" t="str">
        <x:v>1601-C II.26</x:v>
      </x:c>
      <x:c r="B22" s="6" t="str">
        <x:v>Previous-month adjustment</x:v>
      </x:c>
      <x:c r="C22" s="24" t="n">
        <x:v>0</x:v>
      </x:c>
      <x:c r="D22" s="6" t="str">
        <x:v>Assumed zero</x:v>
      </x:c>
    </x:row>
    <x:row r="23" ht="25" customHeight="1">
      <x:c r="A23" s="6" t="str">
        <x:v>1601-C II.27</x:v>
      </x:c>
      <x:c r="B23" s="6" t="str">
        <x:v>Taxes withheld for remittance</x:v>
      </x:c>
      <x:c r="C23" s="24" t="n">
        <x:f>C21+C22</x:f>
        <x:v>2808.4</x:v>
      </x:c>
      <x:c r="D23" s="6" t="str">
        <x:v>II.25 plus II.26</x:v>
      </x:c>
    </x:row>
    <x:row r="24" ht="25" customHeight="1">
      <x:c r="A24" s="6" t="str">
        <x:v>1601-C II.30</x:v>
      </x:c>
      <x:c r="B24" s="6" t="str">
        <x:v>Prior / other remittances</x:v>
      </x:c>
      <x:c r="C24" s="24" t="n">
        <x:v>0</x:v>
      </x:c>
      <x:c r="D24" s="6" t="str">
        <x:v>Assumed zero</x:v>
      </x:c>
    </x:row>
    <x:row r="25" ht="25" customHeight="1">
      <x:c r="A25" s="23" t="str">
        <x:v>1601-C II.36</x:v>
      </x:c>
      <x:c r="B25" s="23" t="str">
        <x:v>Amount still due</x:v>
      </x:c>
      <x:c r="C25" s="25" t="n">
        <x:f>C23-C24</x:f>
        <x:v>2808.4</x:v>
      </x:c>
      <x:c r="D25" s="23" t="str">
        <x:v>No penalties in this example</x:v>
      </x:c>
    </x:row>
    <x:row r="26" ht="25" customHeight="1">
      <x:c r="A26" s="6"/>
      <x:c r="B26" s="6"/>
      <x:c r="C26" s="24"/>
      <x:c r="D26" s="6"/>
    </x:row>
    <x:row r="27" ht="25" customHeight="1">
      <x:c r="A27" s="6" t="str">
        <x:v>1701-MS IV.5</x:v>
      </x:c>
      <x:c r="B27" s="6" t="str">
        <x:v>Annual sales</x:v>
      </x:c>
      <x:c r="C27" s="24" t="n">
        <x:f>SUMIFS('Example data'!$F$6:$F$12,'Example data'!$B$6:$B$12,2026,'Example data'!$D$6:$D$12,"Sale")</x:f>
        <x:v>1200000</x:v>
      </x:c>
      <x:c r="D27" s="6" t="str">
        <x:v>Sum annual sale entries</x:v>
      </x:c>
    </x:row>
    <x:row r="28" ht="25" customHeight="1">
      <x:c r="A28" s="6" t="str">
        <x:v>1701-MS IV.6</x:v>
      </x:c>
      <x:c r="B28" s="6" t="str">
        <x:v>Annual returns / discounts</x:v>
      </x:c>
      <x:c r="C28" s="24" t="n">
        <x:f>SUMIFS('Example data'!$F$6:$F$12,'Example data'!$B$6:$B$12,2026,'Example data'!$D$6:$D$12,"Return")</x:f>
        <x:v>10000</x:v>
      </x:c>
      <x:c r="D28" s="6" t="str">
        <x:v>Sum annual return entries</x:v>
      </x:c>
    </x:row>
    <x:row r="29" ht="25" customHeight="1">
      <x:c r="A29" s="6" t="str">
        <x:v>1701-MS IV.7</x:v>
      </x:c>
      <x:c r="B29" s="6" t="str">
        <x:v>Net annual sales</x:v>
      </x:c>
      <x:c r="C29" s="24" t="n">
        <x:f>C27-C28</x:f>
        <x:v>1190000</x:v>
      </x:c>
      <x:c r="D29" s="6" t="str">
        <x:v>IV.5 minus IV.6</x:v>
      </x:c>
    </x:row>
    <x:row r="30" ht="25" customHeight="1">
      <x:c r="A30" s="6" t="str">
        <x:v>1701-MS IV.11</x:v>
      </x:c>
      <x:c r="B30" s="6" t="str">
        <x:v>Optional standard deduction</x:v>
      </x:c>
      <x:c r="C30" s="24" t="n">
        <x:f>C29*'Example data'!B23</x:f>
        <x:v>476000</x:v>
      </x:c>
      <x:c r="D30" s="6" t="str">
        <x:v>40% of IV.7</x:v>
      </x:c>
    </x:row>
    <x:row r="31" ht="25" customHeight="1">
      <x:c r="A31" s="6" t="str">
        <x:v>1701-MS IV.13</x:v>
      </x:c>
      <x:c r="B31" s="6" t="str">
        <x:v>Other non-operating income</x:v>
      </x:c>
      <x:c r="C31" s="24" t="n">
        <x:v>0</x:v>
      </x:c>
      <x:c r="D31" s="6" t="str">
        <x:v>Assumed zero</x:v>
      </x:c>
    </x:row>
    <x:row r="32" ht="25" customHeight="1">
      <x:c r="A32" s="6" t="str">
        <x:v>1701-MS IV.14</x:v>
      </x:c>
      <x:c r="B32" s="6" t="str">
        <x:v>Taxable business income</x:v>
      </x:c>
      <x:c r="C32" s="24" t="n">
        <x:f>C29-C30+C31</x:f>
        <x:v>714000</x:v>
      </x:c>
      <x:c r="D32" s="6" t="str">
        <x:v>Net sales minus OSD plus other income</x:v>
      </x:c>
    </x:row>
    <x:row r="33" ht="25" customHeight="1">
      <x:c r="A33" s="6" t="str">
        <x:v>1701-MS IV.18B</x:v>
      </x:c>
      <x:c r="B33" s="6" t="str">
        <x:v>Graduated income tax due</x:v>
      </x:c>
      <x:c r="C33" s="24" t="n">
        <x:f>IF(C32&lt;=250000,0,IF(C32&lt;=400000,(C32-250000)*0.15,IF(C32&lt;=800000,22500+(C32-400000)*0.2,IF(C32&lt;=2000000,102500+(C32-800000)*0.25,IF(C32&lt;=8000000,402500+(C32-2000000)*0.3,2202500+(C32-8000000)*0.35)))))</x:f>
        <x:v>85300</x:v>
      </x:c>
      <x:c r="D33" s="6" t="str">
        <x:v>Illustration: current progressive brackets</x:v>
      </x:c>
    </x:row>
    <x:row r="34" ht="25" customHeight="1">
      <x:c r="A34" s="6" t="str">
        <x:v>1701-MS V.2</x:v>
      </x:c>
      <x:c r="B34" s="6" t="str">
        <x:v>Q1–Q3 tax payments</x:v>
      </x:c>
      <x:c r="C34" s="24" t="n">
        <x:f>'Example data'!B20</x:f>
        <x:v>40400</x:v>
      </x:c>
      <x:c r="D34" s="6" t="str">
        <x:v>Input supported by prior 1701Q payments</x:v>
      </x:c>
    </x:row>
    <x:row r="35" ht="25" customHeight="1">
      <x:c r="A35" s="6" t="str">
        <x:v>1701-MS V.3</x:v>
      </x:c>
      <x:c r="B35" s="6" t="str">
        <x:v>Q1–Q3 income-tax withholding</x:v>
      </x:c>
      <x:c r="C35" s="24" t="n">
        <x:f>SUMIFS('Example data'!$H$6:$H$12,'Example data'!$B$6:$B$12,2026,'Example data'!$C$6:$C$12,"&lt;=3")</x:f>
        <x:v>8900</x:v>
      </x:c>
      <x:c r="D35" s="6" t="str">
        <x:v>Income-tax 2307s; three quarters</x:v>
      </x:c>
    </x:row>
    <x:row r="36" ht="25" customHeight="1">
      <x:c r="A36" s="6" t="str">
        <x:v>1701-MS V.4</x:v>
      </x:c>
      <x:c r="B36" s="6" t="str">
        <x:v>Q4 income-tax withholding</x:v>
      </x:c>
      <x:c r="C36" s="24" t="n">
        <x:f>SUMIFS('Example data'!$H$6:$H$12,'Example data'!$B$6:$B$12,2026,'Example data'!$C$6:$C$12,4)</x:f>
        <x:v>3000</x:v>
      </x:c>
      <x:c r="D36" s="6" t="str">
        <x:v>Income-tax 2307s; Q4</x:v>
      </x:c>
    </x:row>
    <x:row r="37" ht="25" customHeight="1">
      <x:c r="A37" s="6" t="str">
        <x:v>1701-MS V.10</x:v>
      </x:c>
      <x:c r="B37" s="6" t="str">
        <x:v>Total credits / payments</x:v>
      </x:c>
      <x:c r="C37" s="24" t="n">
        <x:f>SUM(C34:C36)</x:f>
        <x:v>52300</x:v>
      </x:c>
      <x:c r="D37" s="6" t="str">
        <x:v>Sum the three amounts above</x:v>
      </x:c>
    </x:row>
    <x:row r="38" ht="25" customHeight="1">
      <x:c r="A38" s="6" t="str">
        <x:v>1701-MS II.24</x:v>
      </x:c>
      <x:c r="B38" s="6" t="str">
        <x:v>Total credits / payments</x:v>
      </x:c>
      <x:c r="C38" s="24" t="n">
        <x:f>C37</x:f>
        <x:v>52300</x:v>
      </x:c>
      <x:c r="D38" s="6" t="str">
        <x:v>From V.10</x:v>
      </x:c>
    </x:row>
    <x:row r="39" ht="25" customHeight="1">
      <x:c r="A39" s="23" t="str">
        <x:v>1701-MS II.29</x:v>
      </x:c>
      <x:c r="B39" s="23" t="str">
        <x:v>Amount payable</x:v>
      </x:c>
      <x:c r="C39" s="25" t="n">
        <x:f>C33-C38</x:f>
        <x:v>33000</x:v>
      </x:c>
      <x:c r="D39" s="23" t="str">
        <x:v>Assumes no installment, penalties or other credits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9" hidden="0" customWidth="1"/>
    <x:col min="5" max="5" width="31" hidden="0" customWidth="1"/>
    <x:col min="6" max="6" width="21" hidden="0" customWidth="1"/>
    <x:col min="7" max="7" width="16" hidden="0" customWidth="1"/>
    <x:col min="8" max="8" width="21" hidden="0" customWidth="1"/>
    <x:col min="9" max="9" width="42" hidden="0" customWidth="1"/>
  </x:cols>
  <x:sheetData>
    <x:row r="1" ht="24" customHeight="1">
      <x:c r="A1" s="1" t="str">
        <x:v>Fictional transactions and payroll</x:v>
      </x:c>
    </x:row>
    <x:row r="2" ht="24" customHeight="1">
      <x:c r="A2" s="2" t="str">
        <x:v>These records feed the Worked example. All amounts are Philippine pesos; the annual Q4 transaction is hypothetical.</x:v>
      </x:c>
    </x:row>
    <x:row r="3" ht="24" customHeight="1">
      <x:c r="A3" s="3" t="str">
        <x:v>Income-tax withholding on the sales is distinct from any percentage-tax withholding.</x:v>
      </x:c>
    </x:row>
    <x:row r="5" ht="25" customHeight="1">
      <x:c r="A5" s="5" t="str">
        <x:v>Reference</x:v>
      </x:c>
      <x:c r="B5" s="5" t="str">
        <x:v>Year</x:v>
      </x:c>
      <x:c r="C5" s="5" t="str">
        <x:v>Quarter</x:v>
      </x:c>
      <x:c r="D5" s="5" t="str">
        <x:v>Type</x:v>
      </x:c>
      <x:c r="E5" s="5" t="str">
        <x:v>Category key</x:v>
      </x:c>
      <x:c r="F5" s="5" t="str">
        <x:v>Base amount</x:v>
      </x:c>
      <x:c r="G5" s="5" t="str">
        <x:v>PT ATC</x:v>
      </x:c>
      <x:c r="H5" s="5" t="str">
        <x:v>Income CWT</x:v>
      </x:c>
      <x:c r="I5" s="5" t="str">
        <x:v>Evidence</x:v>
      </x:c>
    </x:row>
    <x:row r="6" ht="25" customHeight="1">
      <x:c r="A6" s="8" t="str">
        <x:v>INV-Q1</x:v>
      </x:c>
      <x:c r="B6" s="8" t="n">
        <x:v>2026</x:v>
      </x:c>
      <x:c r="C6" s="8" t="n">
        <x:v>1</x:v>
      </x:c>
      <x:c r="D6" s="8" t="str">
        <x:v>Sale</x:v>
      </x:c>
      <x:c r="E6" s="8" t="str">
        <x:v>sales_revenue</x:v>
      </x:c>
      <x:c r="F6" s="18" t="n">
        <x:v>300000</x:v>
      </x:c>
      <x:c r="G6" s="8" t="str">
        <x:v>PT010</x:v>
      </x:c>
      <x:c r="H6" s="18" t="n">
        <x:v>3000</x:v>
      </x:c>
      <x:c r="I6" s="8" t="str">
        <x:v>Invoice + income-tax 2307</x:v>
      </x:c>
    </x:row>
    <x:row r="7" ht="25" customHeight="1">
      <x:c r="A7" s="8" t="str">
        <x:v>INV-Q2</x:v>
      </x:c>
      <x:c r="B7" s="8" t="n">
        <x:v>2026</x:v>
      </x:c>
      <x:c r="C7" s="8" t="n">
        <x:v>2</x:v>
      </x:c>
      <x:c r="D7" s="8" t="str">
        <x:v>Sale</x:v>
      </x:c>
      <x:c r="E7" s="8" t="str">
        <x:v>sales_revenue</x:v>
      </x:c>
      <x:c r="F7" s="18" t="n">
        <x:v>300000</x:v>
      </x:c>
      <x:c r="G7" s="8" t="str">
        <x:v>PT010</x:v>
      </x:c>
      <x:c r="H7" s="18" t="n">
        <x:v>3000</x:v>
      </x:c>
      <x:c r="I7" s="8" t="str">
        <x:v>Invoice + income-tax 2307</x:v>
      </x:c>
    </x:row>
    <x:row r="8" ht="25" customHeight="1">
      <x:c r="A8" s="8" t="str">
        <x:v>INV-Q3</x:v>
      </x:c>
      <x:c r="B8" s="8" t="n">
        <x:v>2026</x:v>
      </x:c>
      <x:c r="C8" s="8" t="n">
        <x:v>3</x:v>
      </x:c>
      <x:c r="D8" s="8" t="str">
        <x:v>Sale</x:v>
      </x:c>
      <x:c r="E8" s="8" t="str">
        <x:v>sales_revenue</x:v>
      </x:c>
      <x:c r="F8" s="18" t="n">
        <x:v>300000</x:v>
      </x:c>
      <x:c r="G8" s="8" t="str">
        <x:v>PT010</x:v>
      </x:c>
      <x:c r="H8" s="18" t="n">
        <x:v>2900</x:v>
      </x:c>
      <x:c r="I8" s="8" t="str">
        <x:v>Invoice + income-tax 2307</x:v>
      </x:c>
    </x:row>
    <x:row r="9" ht="25" customHeight="1">
      <x:c r="A9" s="8" t="str">
        <x:v>CN-Q3</x:v>
      </x:c>
      <x:c r="B9" s="8" t="n">
        <x:v>2026</x:v>
      </x:c>
      <x:c r="C9" s="8" t="n">
        <x:v>3</x:v>
      </x:c>
      <x:c r="D9" s="8" t="str">
        <x:v>Return</x:v>
      </x:c>
      <x:c r="E9" s="8" t="str">
        <x:v>refunds_and_discounts</x:v>
      </x:c>
      <x:c r="F9" s="18" t="n">
        <x:v>10000</x:v>
      </x:c>
      <x:c r="G9" s="8" t="str">
        <x:v>PT010</x:v>
      </x:c>
      <x:c r="H9" s="18" t="n">
        <x:v>0</x:v>
      </x:c>
      <x:c r="I9" s="8" t="str">
        <x:v>Credit note against Q3 sale</x:v>
      </x:c>
    </x:row>
    <x:row r="10" ht="25" customHeight="1">
      <x:c r="A10" s="8" t="str">
        <x:v>INV-Q4</x:v>
      </x:c>
      <x:c r="B10" s="8" t="n">
        <x:v>2026</x:v>
      </x:c>
      <x:c r="C10" s="8" t="n">
        <x:v>4</x:v>
      </x:c>
      <x:c r="D10" s="8" t="str">
        <x:v>Sale</x:v>
      </x:c>
      <x:c r="E10" s="8" t="str">
        <x:v>sales_revenue</x:v>
      </x:c>
      <x:c r="F10" s="18" t="n">
        <x:v>300000</x:v>
      </x:c>
      <x:c r="G10" s="8" t="str">
        <x:v>PT010</x:v>
      </x:c>
      <x:c r="H10" s="18" t="n">
        <x:v>3000</x:v>
      </x:c>
      <x:c r="I10" s="8" t="str">
        <x:v>Invoice + income-tax 2307</x:v>
      </x:c>
    </x:row>
    <x:row r="11" ht="25" customHeight="1">
      <x:c r="A11" s="8" t="str">
        <x:v>EXP-Q3</x:v>
      </x:c>
      <x:c r="B11" s="8" t="n">
        <x:v>2026</x:v>
      </x:c>
      <x:c r="C11" s="8" t="n">
        <x:v>3</x:v>
      </x:c>
      <x:c r="D11" s="8" t="str">
        <x:v>Expense</x:v>
      </x:c>
      <x:c r="E11" s="8" t="str">
        <x:v>office_supplies</x:v>
      </x:c>
      <x:c r="F11" s="18" t="n">
        <x:v>20000</x:v>
      </x:c>
      <x:c r="G11" s="8" t="str"/>
      <x:c r="H11" s="18" t="n">
        <x:v>0</x:v>
      </x:c>
      <x:c r="I11" s="8" t="str">
        <x:v>Supplier invoice</x:v>
      </x:c>
    </x:row>
    <x:row r="12" ht="25" customHeight="1">
      <x:c r="A12" s="8" t="str">
        <x:v>PAY-Q3</x:v>
      </x:c>
      <x:c r="B12" s="8" t="n">
        <x:v>2026</x:v>
      </x:c>
      <x:c r="C12" s="8" t="n">
        <x:v>3</x:v>
      </x:c>
      <x:c r="D12" s="8" t="str">
        <x:v>Expense</x:v>
      </x:c>
      <x:c r="E12" s="8" t="str">
        <x:v>salaries</x:v>
      </x:c>
      <x:c r="F12" s="18" t="n">
        <x:v>42000</x:v>
      </x:c>
      <x:c r="G12" s="8" t="str"/>
      <x:c r="H12" s="18" t="n">
        <x:v>0</x:v>
      </x:c>
      <x:c r="I12" s="8" t="str">
        <x:v>Gross employee payroll</x:v>
      </x:c>
    </x:row>
    <x:row r="15">
      <x:c r="A15" s="9" t="str">
        <x:v>One hypothetical employee, September 2026</x:v>
      </x:c>
    </x:row>
    <x:row r="16" ht="38" customHeight="1">
      <x:c r="A16" s="16" t="str">
        <x:v>Employee</x:v>
      </x:c>
      <x:c r="B16" s="16" t="str">
        <x:v>Year</x:v>
      </x:c>
      <x:c r="C16" s="16" t="str">
        <x:v>Month</x:v>
      </x:c>
      <x:c r="D16" s="16" t="str">
        <x:v>Basic gross</x:v>
      </x:c>
      <x:c r="E16" s="16" t="str">
        <x:v>Exempt de minimis</x:v>
      </x:c>
      <x:c r="F16" s="16" t="str">
        <x:v>Employee contributions</x:v>
      </x:c>
      <x:c r="G16" s="16" t="str">
        <x:v>Below-threshold taxable pay</x:v>
      </x:c>
      <x:c r="H16" s="16" t="str">
        <x:v>Tax withheld</x:v>
      </x:c>
    </x:row>
    <x:row r="17" ht="25" customHeight="1">
      <x:c r="A17" s="8" t="str">
        <x:v>E-001</x:v>
      </x:c>
      <x:c r="B17" s="8" t="n">
        <x:v>2026</x:v>
      </x:c>
      <x:c r="C17" s="8" t="n">
        <x:v>9</x:v>
      </x:c>
      <x:c r="D17" s="18" t="n">
        <x:v>40000</x:v>
      </x:c>
      <x:c r="E17" s="18" t="n">
        <x:v>2000</x:v>
      </x:c>
      <x:c r="F17" s="18" t="n">
        <x:v>2000</x:v>
      </x:c>
      <x:c r="G17" s="18" t="n">
        <x:v>0</x:v>
      </x:c>
      <x:c r="H17" s="18" t="n">
        <x:v>2808.4</x:v>
      </x:c>
    </x:row>
    <x:row r="20">
      <x:c r="A20" t="str">
        <x:v>Q1–Q3 income-tax payments</x:v>
      </x:c>
      <x:c r="B20" s="18" t="n">
        <x:v>40400</x:v>
      </x:c>
    </x:row>
    <x:row r="21">
      <x:c r="A21" t="str">
        <x:v>Quarterly percentage tax withheld</x:v>
      </x:c>
      <x:c r="B21" s="18" t="n">
        <x:v>0</x:v>
      </x:c>
    </x:row>
    <x:row r="22">
      <x:c r="A22" t="str">
        <x:v>Section 116 percentage rate</x:v>
      </x:c>
      <x:c r="B22" s="17" t="n">
        <x:v>0.03</x:v>
      </x:c>
    </x:row>
    <x:row r="23">
      <x:c r="A23" t="str">
        <x:v>Individual OSD rate</x:v>
      </x:c>
      <x:c r="B23" s="17" t="n">
        <x:v>0.4</x:v>
      </x:c>
    </x:row>
    <x:row r="25">
      <x:c r="A25" t="str">
        <x:v>Data is for demonstrating field lineage. Prior payments and withholding are assumed supported; no statutory determination or payroll calculation is performed.</x:v>
      </x:c>
    </x:row>
    <x:row r="26">
      <x:c r="A26" t="str">
        <x:v>Example assumes the tax periods, taxpayer eligibility, ATC, benefit exemptions, carryovers and prior payments have already been verified.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3" hidden="0" customWidth="1"/>
    <x:col min="3" max="3" width="24" hidden="0" customWidth="1"/>
    <x:col min="4" max="4" width="57" hidden="0" customWidth="1"/>
    <x:col min="5" max="5" width="19" hidden="0" customWidth="1"/>
    <x:col min="6" max="6" width="22" hidden="0" customWidth="1"/>
    <x:col min="7" max="7" width="20" hidden="0" customWidth="1"/>
    <x:col min="8" max="8" width="22" hidden="0" customWidth="1"/>
  </x:cols>
  <x:sheetData>
    <x:row r="1" ht="24" customHeight="1">
      <x:c r="A1" s="1" t="str">
        <x:v>Common form catalog</x:v>
      </x:c>
    </x:row>
    <x:row r="2" ht="24" customHeight="1">
      <x:c r="A2" s="2" t="str">
        <x:v>Scope filtering is only a legal-entity screen; tax type, activity, elections and period still determine the actual filing.</x:v>
      </x:c>
    </x:row>
    <x:row r="3" ht="24" customHeight="1">
      <x:c r="A3" s="3" t="str">
        <x:v>Only the three indicated forms have field dictionaries in this workbook; do not interpret “Not mapped” as no filing duty.</x:v>
      </x:c>
    </x:row>
    <x:row r="5" ht="32" customHeight="1">
      <x:c r="A5" s="14" t="str">
        <x:v>Form</x:v>
      </x:c>
      <x:c r="B5" s="14" t="str">
        <x:v>Purpose</x:v>
      </x:c>
      <x:c r="C5" s="14" t="str">
        <x:v>Entity scope</x:v>
      </x:c>
      <x:c r="D5" s="14" t="str">
        <x:v>Typical trigger</x:v>
      </x:c>
      <x:c r="E5" s="14" t="str">
        <x:v>Frequency</x:v>
      </x:c>
      <x:c r="F5" s="14" t="str">
        <x:v>Coverage</x:v>
      </x:c>
      <x:c r="G5" s="14" t="str">
        <x:v>Entity screen</x:v>
      </x:c>
      <x:c r="H5" s="14" t="str">
        <x:v>Profile selection</x:v>
      </x:c>
    </x:row>
    <x:row r="6" ht="46" customHeight="1">
      <x:c r="A6" s="12" t="str">
        <x:v>1700</x:v>
      </x:c>
      <x:c r="B6" s="12" t="str">
        <x:v>Annual compensation return</x:v>
      </x:c>
      <x:c r="C6" s="12" t="str">
        <x:v>Individual</x:v>
      </x:c>
      <x:c r="D6" s="12" t="str">
        <x:v>Employee must file; substitution rules may apply</x:v>
      </x:c>
      <x:c r="E6" s="12" t="str">
        <x:v>Annual</x:v>
      </x:c>
      <x:c r="F6" s="12" t="str">
        <x:v>Not mapped</x:v>
      </x:c>
      <x:c r="G6" s="12" t="str">
        <x:f>IF(OR(C6="Any",AND(C6="Individual",Profile!$C$6="Individual"),AND(C6="Individual/Fiduciary",OR(Profile!$C$6="Individual",Profile!$C$6="Estate/Trust")),AND(C6="Non-individual",OR(Profile!$C$6="Corporation",Profile!$C$6="Partnership")),AND(C6="Estate/Trust",Profile!$C$6="Estate/Trust")),"In scope","Out of scope")</x:f>
        <x:v>In scope</x:v>
      </x:c>
      <x:c r="H6" s="12" t="str">
        <x:f>"Not selected here"</x:f>
        <x:v>Not selected here</x:v>
      </x:c>
    </x:row>
    <x:row r="7" ht="46" customHeight="1">
      <x:c r="A7" s="15" t="str">
        <x:v>1701Q</x:v>
      </x:c>
      <x:c r="B7" s="15" t="str">
        <x:v>Quarterly individual income tax</x:v>
      </x:c>
      <x:c r="C7" s="15" t="str">
        <x:v>Individual/Fiduciary</x:v>
      </x:c>
      <x:c r="D7" s="15" t="str">
        <x:v>Business / professional income when required</x:v>
      </x:c>
      <x:c r="E7" s="15" t="str">
        <x:v>Q1–Q3</x:v>
      </x:c>
      <x:c r="F7" s="15" t="str">
        <x:v>Not mapped</x:v>
      </x:c>
      <x:c r="G7" s="15" t="str">
        <x:f>IF(OR(C7="Any",AND(C7="Individual",Profile!$C$6="Individual"),AND(C7="Individual/Fiduciary",OR(Profile!$C$6="Individual",Profile!$C$6="Estate/Trust")),AND(C7="Non-individual",OR(Profile!$C$6="Corporation",Profile!$C$6="Partnership")),AND(C7="Estate/Trust",Profile!$C$6="Estate/Trust")),"In scope","Out of scope")</x:f>
        <x:v>In scope</x:v>
      </x:c>
      <x:c r="H7" s="15" t="str">
        <x:f>IF(Profile!$G$6="Yes","Selected","Not selected")</x:f>
        <x:v>Selected</x:v>
      </x:c>
    </x:row>
    <x:row r="8" ht="46" customHeight="1">
      <x:c r="A8" s="12" t="str">
        <x:v>1701</x:v>
      </x:c>
      <x:c r="B8" s="12" t="str">
        <x:v>Annual individual income tax</x:v>
      </x:c>
      <x:c r="C8" s="12" t="str">
        <x:v>Individual/Fiduciary</x:v>
      </x:c>
      <x:c r="D8" s="12" t="str">
        <x:v>Business, mixed, multiple regimes and other applicable cases</x:v>
      </x:c>
      <x:c r="E8" s="12" t="str">
        <x:v>Annual</x:v>
      </x:c>
      <x:c r="F8" s="12" t="str">
        <x:v>Not mapped</x:v>
      </x:c>
      <x:c r="G8" s="12" t="str">
        <x:f>IF(OR(C8="Any",AND(C8="Individual",Profile!$C$6="Individual"),AND(C8="Individual/Fiduciary",OR(Profile!$C$6="Individual",Profile!$C$6="Estate/Trust")),AND(C8="Non-individual",OR(Profile!$C$6="Corporation",Profile!$C$6="Partnership")),AND(C8="Estate/Trust",Profile!$C$6="Estate/Trust")),"In scope","Out of scope")</x:f>
        <x:v>In scope</x:v>
      </x:c>
      <x:c r="H8" s="12" t="str">
        <x:f>IF(Profile!$G$10="Yes","Selected","Not selected")</x:f>
        <x:v>Not selected</x:v>
      </x:c>
    </x:row>
    <x:row r="9" ht="46" customHeight="1">
      <x:c r="A9" s="15" t="str">
        <x:v>1701A</x:v>
      </x:c>
      <x:c r="B9" s="15" t="str">
        <x:v>Annual pure business income tax</x:v>
      </x:c>
      <x:c r="C9" s="15" t="str">
        <x:v>Individual</x:v>
      </x:c>
      <x:c r="D9" s="15" t="str">
        <x:v>Eligible pure business, 8% or graduated + OSD</x:v>
      </x:c>
      <x:c r="E9" s="15" t="str">
        <x:v>Annual</x:v>
      </x:c>
      <x:c r="F9" s="15" t="str">
        <x:v>Not mapped</x:v>
      </x:c>
      <x:c r="G9" s="15" t="str">
        <x:f>IF(OR(C9="Any",AND(C9="Individual",Profile!$C$6="Individual"),AND(C9="Individual/Fiduciary",OR(Profile!$C$6="Individual",Profile!$C$6="Estate/Trust")),AND(C9="Non-individual",OR(Profile!$C$6="Corporation",Profile!$C$6="Partnership")),AND(C9="Estate/Trust",Profile!$C$6="Estate/Trust")),"In scope","Out of scope")</x:f>
        <x:v>In scope</x:v>
      </x:c>
      <x:c r="H9" s="15" t="str">
        <x:f>IF(Profile!$G$10="Yes","Selected","Not selected")</x:f>
        <x:v>Not selected</x:v>
      </x:c>
    </x:row>
    <x:row r="10" ht="46" customHeight="1">
      <x:c r="A10" s="12" t="str">
        <x:v>1701-MS</x:v>
      </x:c>
      <x:c r="B10" s="12" t="str">
        <x:v>Annual micro / small individual income tax</x:v>
      </x:c>
      <x:c r="C10" s="12" t="str">
        <x:v>Individual/Fiduciary</x:v>
      </x:c>
      <x:c r="D10" s="12" t="str">
        <x:v>Eligible micro/small individual; check form restrictions</x:v>
      </x:c>
      <x:c r="E10" s="12" t="str">
        <x:v>Annual</x:v>
      </x:c>
      <x:c r="F10" s="12" t="str">
        <x:v>Field dictionary</x:v>
      </x:c>
      <x:c r="G10" s="12" t="str">
        <x:f>IF(OR(C10="Any",AND(C10="Individual",Profile!$C$6="Individual"),AND(C10="Individual/Fiduciary",OR(Profile!$C$6="Individual",Profile!$C$6="Estate/Trust")),AND(C10="Non-individual",OR(Profile!$C$6="Corporation",Profile!$C$6="Partnership")),AND(C10="Estate/Trust",Profile!$C$6="Estate/Trust")),"In scope","Out of scope")</x:f>
        <x:v>In scope</x:v>
      </x:c>
      <x:c r="H10" s="12" t="str">
        <x:f>IF(Profile!$C$9="Yes","Selected","Not selected")</x:f>
        <x:v>Selected</x:v>
      </x:c>
    </x:row>
    <x:row r="11" ht="46" customHeight="1">
      <x:c r="A11" s="15" t="str">
        <x:v>1702Q</x:v>
      </x:c>
      <x:c r="B11" s="15" t="str">
        <x:v>Quarterly corporate income tax</x:v>
      </x:c>
      <x:c r="C11" s="15" t="str">
        <x:v>Non-individual</x:v>
      </x:c>
      <x:c r="D11" s="15" t="str">
        <x:v>Taxable corporation / partnership when required</x:v>
      </x:c>
      <x:c r="E11" s="15" t="str">
        <x:v>Q1–Q3</x:v>
      </x:c>
      <x:c r="F11" s="15" t="str">
        <x:v>Not mapped</x:v>
      </x:c>
      <x:c r="G11" s="15" t="str">
        <x:f>IF(OR(C11="Any",AND(C11="Individual",Profile!$C$6="Individual"),AND(C11="Individual/Fiduciary",OR(Profile!$C$6="Individual",Profile!$C$6="Estate/Trust")),AND(C11="Non-individual",OR(Profile!$C$6="Corporation",Profile!$C$6="Partnership")),AND(C11="Estate/Trust",Profile!$C$6="Estate/Trust")),"In scope","Out of scope")</x:f>
        <x:v>Out of scope</x:v>
      </x:c>
      <x:c r="H11" s="15" t="str">
        <x:f>IF(Profile!$G$7="Yes","Selected","Not selected")</x:f>
        <x:v>Not selected</x:v>
      </x:c>
    </x:row>
    <x:row r="12" ht="46" customHeight="1">
      <x:c r="A12" s="12" t="str">
        <x:v>1702-RT</x:v>
      </x:c>
      <x:c r="B12" s="12" t="str">
        <x:v>Regular-rate corporate annual</x:v>
      </x:c>
      <x:c r="C12" s="12" t="str">
        <x:v>Non-individual</x:v>
      </x:c>
      <x:c r="D12" s="12" t="str">
        <x:v>Regular-rate corporation / partnership</x:v>
      </x:c>
      <x:c r="E12" s="12" t="str">
        <x:v>Annual</x:v>
      </x:c>
      <x:c r="F12" s="12" t="str">
        <x:v>Not mapped</x:v>
      </x:c>
      <x:c r="G12" s="12" t="str">
        <x:f>IF(OR(C12="Any",AND(C12="Individual",Profile!$C$6="Individual"),AND(C12="Individual/Fiduciary",OR(Profile!$C$6="Individual",Profile!$C$6="Estate/Trust")),AND(C12="Non-individual",OR(Profile!$C$6="Corporation",Profile!$C$6="Partnership")),AND(C12="Estate/Trust",Profile!$C$6="Estate/Trust")),"In scope","Out of scope")</x:f>
        <x:v>Out of scope</x:v>
      </x:c>
      <x:c r="H12" s="12" t="str">
        <x:f>IF(Profile!$G$7="Yes","Selected","Not selected")</x:f>
        <x:v>Not selected</x:v>
      </x:c>
    </x:row>
    <x:row r="13" ht="46" customHeight="1">
      <x:c r="A13" s="15" t="str">
        <x:v>1702-EX</x:v>
      </x:c>
      <x:c r="B13" s="15" t="str">
        <x:v>Exempt entity annual</x:v>
      </x:c>
      <x:c r="C13" s="15" t="str">
        <x:v>Non-individual</x:v>
      </x:c>
      <x:c r="D13" s="15" t="str">
        <x:v>Qualifying exempt entity with no other taxable income</x:v>
      </x:c>
      <x:c r="E13" s="15" t="str">
        <x:v>Annual</x:v>
      </x:c>
      <x:c r="F13" s="15" t="str">
        <x:v>Not mapped</x:v>
      </x:c>
      <x:c r="G13" s="15" t="str">
        <x:f>IF(OR(C13="Any",AND(C13="Individual",Profile!$C$6="Individual"),AND(C13="Individual/Fiduciary",OR(Profile!$C$6="Individual",Profile!$C$6="Estate/Trust")),AND(C13="Non-individual",OR(Profile!$C$6="Corporation",Profile!$C$6="Partnership")),AND(C13="Estate/Trust",Profile!$C$6="Estate/Trust")),"In scope","Out of scope")</x:f>
        <x:v>Out of scope</x:v>
      </x:c>
      <x:c r="H13" s="15" t="str">
        <x:f>IF(Profile!$G$7="Yes","Selected","Not selected")</x:f>
        <x:v>Not selected</x:v>
      </x:c>
    </x:row>
    <x:row r="14" ht="46" customHeight="1">
      <x:c r="A14" s="12" t="str">
        <x:v>1702-MX</x:v>
      </x:c>
      <x:c r="B14" s="12" t="str">
        <x:v>Mixed / preferential corporate annual</x:v>
      </x:c>
      <x:c r="C14" s="12" t="str">
        <x:v>Non-individual</x:v>
      </x:c>
      <x:c r="D14" s="12" t="str">
        <x:v>Multiple / preferential income-tax rates</x:v>
      </x:c>
      <x:c r="E14" s="12" t="str">
        <x:v>Annual</x:v>
      </x:c>
      <x:c r="F14" s="12" t="str">
        <x:v>Not mapped</x:v>
      </x:c>
      <x:c r="G14" s="12" t="str">
        <x:f>IF(OR(C14="Any",AND(C14="Individual",Profile!$C$6="Individual"),AND(C14="Individual/Fiduciary",OR(Profile!$C$6="Individual",Profile!$C$6="Estate/Trust")),AND(C14="Non-individual",OR(Profile!$C$6="Corporation",Profile!$C$6="Partnership")),AND(C14="Estate/Trust",Profile!$C$6="Estate/Trust")),"In scope","Out of scope")</x:f>
        <x:v>Out of scope</x:v>
      </x:c>
      <x:c r="H14" s="12" t="str">
        <x:f>IF(Profile!$G$7="Yes","Selected","Not selected")</x:f>
        <x:v>Not selected</x:v>
      </x:c>
    </x:row>
    <x:row r="15" ht="46" customHeight="1">
      <x:c r="A15" s="15" t="str">
        <x:v>2551Q</x:v>
      </x:c>
      <x:c r="B15" s="15" t="str">
        <x:v>Quarterly percentage tax</x:v>
      </x:c>
      <x:c r="C15" s="15" t="str">
        <x:v>Any</x:v>
      </x:c>
      <x:c r="D15" s="15" t="str">
        <x:v>Taxable business or sector; specific ATCs apply</x:v>
      </x:c>
      <x:c r="E15" s="15" t="str">
        <x:v>Quarterly</x:v>
      </x:c>
      <x:c r="F15" s="15" t="str">
        <x:v>Field dictionary</x:v>
      </x:c>
      <x:c r="G15" s="15" t="str">
        <x:f>IF(OR(C15="Any",AND(C15="Individual",Profile!$C$6="Individual"),AND(C15="Individual/Fiduciary",OR(Profile!$C$6="Individual",Profile!$C$6="Estate/Trust")),AND(C15="Non-individual",OR(Profile!$C$6="Corporation",Profile!$C$6="Partnership")),AND(C15="Estate/Trust",Profile!$C$6="Estate/Trust")),"In scope","Out of scope")</x:f>
        <x:v>In scope</x:v>
      </x:c>
      <x:c r="H15" s="15" t="str">
        <x:f>IF(Profile!$C$7="Yes","Selected","Not selected")</x:f>
        <x:v>Selected</x:v>
      </x:c>
    </x:row>
    <x:row r="16" ht="46" customHeight="1">
      <x:c r="A16" s="12" t="str">
        <x:v>2550Q</x:v>
      </x:c>
      <x:c r="B16" s="12" t="str">
        <x:v>Quarterly VAT</x:v>
      </x:c>
      <x:c r="C16" s="12" t="str">
        <x:v>Any</x:v>
      </x:c>
      <x:c r="D16" s="12" t="str">
        <x:v>VAT registration or applicable VAT liability</x:v>
      </x:c>
      <x:c r="E16" s="12" t="str">
        <x:v>Quarterly</x:v>
      </x:c>
      <x:c r="F16" s="12" t="str">
        <x:v>Not mapped</x:v>
      </x:c>
      <x:c r="G16" s="12" t="str">
        <x:f>IF(OR(C16="Any",AND(C16="Individual",Profile!$C$6="Individual"),AND(C16="Individual/Fiduciary",OR(Profile!$C$6="Individual",Profile!$C$6="Estate/Trust")),AND(C16="Non-individual",OR(Profile!$C$6="Corporation",Profile!$C$6="Partnership")),AND(C16="Estate/Trust",Profile!$C$6="Estate/Trust")),"In scope","Out of scope")</x:f>
        <x:v>In scope</x:v>
      </x:c>
      <x:c r="H16" s="12" t="str">
        <x:f>IF(Profile!$G$8="Yes","Selected","Not selected")</x:f>
        <x:v>Not selected</x:v>
      </x:c>
    </x:row>
    <x:row r="17" ht="46" customHeight="1">
      <x:c r="A17" s="15" t="str">
        <x:v>1601-C</x:v>
      </x:c>
      <x:c r="B17" s="15" t="str">
        <x:v>Compensation withholding remittance</x:v>
      </x:c>
      <x:c r="C17" s="15" t="str">
        <x:v>Any</x:v>
      </x:c>
      <x:c r="D17" s="15" t="str">
        <x:v>Employer / withholding agent for compensation</x:v>
      </x:c>
      <x:c r="E17" s="15" t="str">
        <x:v>Monthly</x:v>
      </x:c>
      <x:c r="F17" s="15" t="str">
        <x:v>Field dictionary</x:v>
      </x:c>
      <x:c r="G17" s="15" t="str">
        <x:f>IF(OR(C17="Any",AND(C17="Individual",Profile!$C$6="Individual"),AND(C17="Individual/Fiduciary",OR(Profile!$C$6="Individual",Profile!$C$6="Estate/Trust")),AND(C17="Non-individual",OR(Profile!$C$6="Corporation",Profile!$C$6="Partnership")),AND(C17="Estate/Trust",Profile!$C$6="Estate/Trust")),"In scope","Out of scope")</x:f>
        <x:v>In scope</x:v>
      </x:c>
      <x:c r="H17" s="15" t="str">
        <x:f>IF(Profile!$C$8="Yes","Selected","Not selected")</x:f>
        <x:v>Selected</x:v>
      </x:c>
    </x:row>
    <x:row r="18" ht="46" customHeight="1">
      <x:c r="A18" s="12" t="str">
        <x:v>1604-C</x:v>
      </x:c>
      <x:c r="B18" s="12" t="str">
        <x:v>Annual compensation information</x:v>
      </x:c>
      <x:c r="C18" s="12" t="str">
        <x:v>Any</x:v>
      </x:c>
      <x:c r="D18" s="12" t="str">
        <x:v>Employer filing annual compensation data</x:v>
      </x:c>
      <x:c r="E18" s="12" t="str">
        <x:v>Annual</x:v>
      </x:c>
      <x:c r="F18" s="12" t="str">
        <x:v>Not mapped</x:v>
      </x:c>
      <x:c r="G18" s="12" t="str">
        <x:f>IF(OR(C18="Any",AND(C18="Individual",Profile!$C$6="Individual"),AND(C18="Individual/Fiduciary",OR(Profile!$C$6="Individual",Profile!$C$6="Estate/Trust")),AND(C18="Non-individual",OR(Profile!$C$6="Corporation",Profile!$C$6="Partnership")),AND(C18="Estate/Trust",Profile!$C$6="Estate/Trust")),"In scope","Out of scope")</x:f>
        <x:v>In scope</x:v>
      </x:c>
      <x:c r="H18" s="12" t="str">
        <x:f>"Not selected here"</x:f>
        <x:v>Not selected here</x:v>
      </x:c>
    </x:row>
    <x:row r="19" ht="46" customHeight="1">
      <x:c r="A19" s="15" t="str">
        <x:v>2316</x:v>
      </x:c>
      <x:c r="B19" s="15" t="str">
        <x:v>Compensation certificate</x:v>
      </x:c>
      <x:c r="C19" s="15" t="str">
        <x:v>Any</x:v>
      </x:c>
      <x:c r="D19" s="15" t="str">
        <x:v>Employer issues; employee uses own certificate</x:v>
      </x:c>
      <x:c r="E19" s="15" t="str">
        <x:v>Annual / event</x:v>
      </x:c>
      <x:c r="F19" s="15" t="str">
        <x:v>Not mapped</x:v>
      </x:c>
      <x:c r="G19" s="15" t="str">
        <x:f>IF(OR(C19="Any",AND(C19="Individual",Profile!$C$6="Individual"),AND(C19="Individual/Fiduciary",OR(Profile!$C$6="Individual",Profile!$C$6="Estate/Trust")),AND(C19="Non-individual",OR(Profile!$C$6="Corporation",Profile!$C$6="Partnership")),AND(C19="Estate/Trust",Profile!$C$6="Estate/Trust")),"In scope","Out of scope")</x:f>
        <x:v>In scope</x:v>
      </x:c>
      <x:c r="H19" s="15" t="str">
        <x:f>"Not selected here"</x:f>
        <x:v>Not selected here</x:v>
      </x:c>
    </x:row>
    <x:row r="20" ht="46" customHeight="1">
      <x:c r="A20" s="12" t="str">
        <x:v>0619-E</x:v>
      </x:c>
      <x:c r="B20" s="12" t="str">
        <x:v>Expanded withholding remittance</x:v>
      </x:c>
      <x:c r="C20" s="12" t="str">
        <x:v>Any</x:v>
      </x:c>
      <x:c r="D20" s="12" t="str">
        <x:v>Withholding agent, first two months of quarter</x:v>
      </x:c>
      <x:c r="E20" s="12" t="str">
        <x:v>Monthly</x:v>
      </x:c>
      <x:c r="F20" s="12" t="str">
        <x:v>Not mapped</x:v>
      </x:c>
      <x:c r="G20" s="12" t="str">
        <x:f>IF(OR(C20="Any",AND(C20="Individual",Profile!$C$6="Individual"),AND(C20="Individual/Fiduciary",OR(Profile!$C$6="Individual",Profile!$C$6="Estate/Trust")),AND(C20="Non-individual",OR(Profile!$C$6="Corporation",Profile!$C$6="Partnership")),AND(C20="Estate/Trust",Profile!$C$6="Estate/Trust")),"In scope","Out of scope")</x:f>
        <x:v>In scope</x:v>
      </x:c>
      <x:c r="H20" s="12" t="str">
        <x:f>IF(Profile!$G$9="Yes","Selected","Not selected")</x:f>
        <x:v>Not selected</x:v>
      </x:c>
    </x:row>
    <x:row r="21" ht="46" customHeight="1">
      <x:c r="A21" s="15" t="str">
        <x:v>1601-EQ</x:v>
      </x:c>
      <x:c r="B21" s="15" t="str">
        <x:v>Expanded withholding return</x:v>
      </x:c>
      <x:c r="C21" s="15" t="str">
        <x:v>Any</x:v>
      </x:c>
      <x:c r="D21" s="15" t="str">
        <x:v>Withholding agent for applicable payments</x:v>
      </x:c>
      <x:c r="E21" s="15" t="str">
        <x:v>Quarterly</x:v>
      </x:c>
      <x:c r="F21" s="15" t="str">
        <x:v>Not mapped</x:v>
      </x:c>
      <x:c r="G21" s="15" t="str">
        <x:f>IF(OR(C21="Any",AND(C21="Individual",Profile!$C$6="Individual"),AND(C21="Individual/Fiduciary",OR(Profile!$C$6="Individual",Profile!$C$6="Estate/Trust")),AND(C21="Non-individual",OR(Profile!$C$6="Corporation",Profile!$C$6="Partnership")),AND(C21="Estate/Trust",Profile!$C$6="Estate/Trust")),"In scope","Out of scope")</x:f>
        <x:v>In scope</x:v>
      </x:c>
      <x:c r="H21" s="15" t="str">
        <x:f>IF(Profile!$G$9="Yes","Selected","Not selected")</x:f>
        <x:v>Not selected</x:v>
      </x:c>
    </x:row>
    <x:row r="22" ht="46" customHeight="1">
      <x:c r="A22" s="12" t="str">
        <x:v>1604-E</x:v>
      </x:c>
      <x:c r="B22" s="12" t="str">
        <x:v>Annual expanded withholding information</x:v>
      </x:c>
      <x:c r="C22" s="12" t="str">
        <x:v>Any</x:v>
      </x:c>
      <x:c r="D22" s="12" t="str">
        <x:v>Withholding agent, as applicable</x:v>
      </x:c>
      <x:c r="E22" s="12" t="str">
        <x:v>Annual</x:v>
      </x:c>
      <x:c r="F22" s="12" t="str">
        <x:v>Not mapped</x:v>
      </x:c>
      <x:c r="G22" s="12" t="str">
        <x:f>IF(OR(C22="Any",AND(C22="Individual",Profile!$C$6="Individual"),AND(C22="Individual/Fiduciary",OR(Profile!$C$6="Individual",Profile!$C$6="Estate/Trust")),AND(C22="Non-individual",OR(Profile!$C$6="Corporation",Profile!$C$6="Partnership")),AND(C22="Estate/Trust",Profile!$C$6="Estate/Trust")),"In scope","Out of scope")</x:f>
        <x:v>In scope</x:v>
      </x:c>
      <x:c r="H22" s="12" t="str">
        <x:f>"Not selected here"</x:f>
        <x:v>Not selected here</x:v>
      </x:c>
    </x:row>
    <x:row r="23" ht="46" customHeight="1">
      <x:c r="A23" s="15" t="str">
        <x:v>2307</x:v>
      </x:c>
      <x:c r="B23" s="15" t="str">
        <x:v>Creditable withholding certificate</x:v>
      </x:c>
      <x:c r="C23" s="15" t="str">
        <x:v>Any</x:v>
      </x:c>
      <x:c r="D23" s="15" t="str">
        <x:v>Issued or received depending on role and tax type</x:v>
      </x:c>
      <x:c r="E23" s="15" t="str">
        <x:v>Quarterly / event</x:v>
      </x:c>
      <x:c r="F23" s="15" t="str">
        <x:v>Not mapped</x:v>
      </x:c>
      <x:c r="G23" s="15" t="str">
        <x:f>IF(OR(C23="Any",AND(C23="Individual",Profile!$C$6="Individual"),AND(C23="Individual/Fiduciary",OR(Profile!$C$6="Individual",Profile!$C$6="Estate/Trust")),AND(C23="Non-individual",OR(Profile!$C$6="Corporation",Profile!$C$6="Partnership")),AND(C23="Estate/Trust",Profile!$C$6="Estate/Trust")),"In scope","Out of scope")</x:f>
        <x:v>In scope</x:v>
      </x:c>
      <x:c r="H23" s="15" t="str">
        <x:f>"Not selected here"</x:f>
        <x:v>Not selected here</x:v>
      </x:c>
    </x:row>
    <x:row r="24" ht="46" customHeight="1">
      <x:c r="A24" s="12" t="str">
        <x:v>QAP</x:v>
      </x:c>
      <x:c r="B24" s="12" t="str">
        <x:v>Quarterly alphalist of payees</x:v>
      </x:c>
      <x:c r="C24" s="12" t="str">
        <x:v>Any</x:v>
      </x:c>
      <x:c r="D24" s="12" t="str">
        <x:v>Withholding agent / applicable return attachment</x:v>
      </x:c>
      <x:c r="E24" s="12" t="str">
        <x:v>Quarterly</x:v>
      </x:c>
      <x:c r="F24" s="12" t="str">
        <x:v>Not mapped</x:v>
      </x:c>
      <x:c r="G24" s="12" t="str">
        <x:f>IF(OR(C24="Any",AND(C24="Individual",Profile!$C$6="Individual"),AND(C24="Individual/Fiduciary",OR(Profile!$C$6="Individual",Profile!$C$6="Estate/Trust")),AND(C24="Non-individual",OR(Profile!$C$6="Corporation",Profile!$C$6="Partnership")),AND(C24="Estate/Trust",Profile!$C$6="Estate/Trust")),"In scope","Out of scope")</x:f>
        <x:v>In scope</x:v>
      </x:c>
      <x:c r="H24" s="12" t="str">
        <x:f>"Not selected here"</x:f>
        <x:v>Not selected here</x:v>
      </x:c>
    </x:row>
    <x:row r="25" ht="46" customHeight="1">
      <x:c r="A25" s="15" t="str">
        <x:v>SAWT</x:v>
      </x:c>
      <x:c r="B25" s="15" t="str">
        <x:v>Summary list of withholding agents</x:v>
      </x:c>
      <x:c r="C25" s="15" t="str">
        <x:v>Any</x:v>
      </x:c>
      <x:c r="D25" s="15" t="str">
        <x:v>Payee claiming tax credits when required</x:v>
      </x:c>
      <x:c r="E25" s="15" t="str">
        <x:v>With return</x:v>
      </x:c>
      <x:c r="F25" s="15" t="str">
        <x:v>Not mapped</x:v>
      </x:c>
      <x:c r="G25" s="15" t="str">
        <x:f>IF(OR(C25="Any",AND(C25="Individual",Profile!$C$6="Individual"),AND(C25="Individual/Fiduciary",OR(Profile!$C$6="Individual",Profile!$C$6="Estate/Trust")),AND(C25="Non-individual",OR(Profile!$C$6="Corporation",Profile!$C$6="Partnership")),AND(C25="Estate/Trust",Profile!$C$6="Estate/Trust")),"In scope","Out of scope")</x:f>
        <x:v>In scope</x:v>
      </x:c>
      <x:c r="H25" s="15" t="str">
        <x:f>"Not selected here"</x:f>
        <x:v>Not selected here</x:v>
      </x:c>
    </x:row>
    <x:row r="26" ht="46" customHeight="1">
      <x:c r="A26" s="12" t="str">
        <x:v>0619-F / 1601-FQ</x:v>
      </x:c>
      <x:c r="B26" s="12" t="str">
        <x:v>Final withholding remittances</x:v>
      </x:c>
      <x:c r="C26" s="12" t="str">
        <x:v>Any</x:v>
      </x:c>
      <x:c r="D26" s="12" t="str">
        <x:v>Withholding agent for applicable final-tax payments</x:v>
      </x:c>
      <x:c r="E26" s="12" t="str">
        <x:v>Monthly / quarterly</x:v>
      </x:c>
      <x:c r="F26" s="12" t="str">
        <x:v>Not mapped</x:v>
      </x:c>
      <x:c r="G26" s="12" t="str">
        <x:f>IF(OR(C26="Any",AND(C26="Individual",Profile!$C$6="Individual"),AND(C26="Individual/Fiduciary",OR(Profile!$C$6="Individual",Profile!$C$6="Estate/Trust")),AND(C26="Non-individual",OR(Profile!$C$6="Corporation",Profile!$C$6="Partnership")),AND(C26="Estate/Trust",Profile!$C$6="Estate/Trust")),"In scope","Out of scope")</x:f>
        <x:v>In scope</x:v>
      </x:c>
      <x:c r="H26" s="12" t="str">
        <x:f>"Not selected here"</x:f>
        <x:v>Not selected here</x:v>
      </x:c>
    </x:row>
    <x:row r="27" ht="46" customHeight="1">
      <x:c r="A27" s="15" t="str">
        <x:v>1706</x:v>
      </x:c>
      <x:c r="B27" s="15" t="str">
        <x:v>Real-property capital gains return</x:v>
      </x:c>
      <x:c r="C27" s="15" t="str">
        <x:v>Any</x:v>
      </x:c>
      <x:c r="D27" s="15" t="str">
        <x:v>Qualifying capital asset disposition</x:v>
      </x:c>
      <x:c r="E27" s="15" t="str">
        <x:v>Event</x:v>
      </x:c>
      <x:c r="F27" s="15" t="str">
        <x:v>Not mapped</x:v>
      </x:c>
      <x:c r="G27" s="15" t="str">
        <x:f>IF(OR(C27="Any",AND(C27="Individual",Profile!$C$6="Individual"),AND(C27="Individual/Fiduciary",OR(Profile!$C$6="Individual",Profile!$C$6="Estate/Trust")),AND(C27="Non-individual",OR(Profile!$C$6="Corporation",Profile!$C$6="Partnership")),AND(C27="Estate/Trust",Profile!$C$6="Estate/Trust")),"In scope","Out of scope")</x:f>
        <x:v>In scope</x:v>
      </x:c>
      <x:c r="H27" s="15" t="str">
        <x:f>"Not selected here"</x:f>
        <x:v>Not selected here</x:v>
      </x:c>
    </x:row>
    <x:row r="28" ht="46" customHeight="1">
      <x:c r="A28" s="12" t="str">
        <x:v>1707 / 1707-A</x:v>
      </x:c>
      <x:c r="B28" s="12" t="str">
        <x:v>Unlisted share capital gains</x:v>
      </x:c>
      <x:c r="C28" s="12" t="str">
        <x:v>Any</x:v>
      </x:c>
      <x:c r="D28" s="12" t="str">
        <x:v>Qualifying share disposition and annual report</x:v>
      </x:c>
      <x:c r="E28" s="12" t="str">
        <x:v>Event / annual</x:v>
      </x:c>
      <x:c r="F28" s="12" t="str">
        <x:v>Not mapped</x:v>
      </x:c>
      <x:c r="G28" s="12" t="str">
        <x:f>IF(OR(C28="Any",AND(C28="Individual",Profile!$C$6="Individual"),AND(C28="Individual/Fiduciary",OR(Profile!$C$6="Individual",Profile!$C$6="Estate/Trust")),AND(C28="Non-individual",OR(Profile!$C$6="Corporation",Profile!$C$6="Partnership")),AND(C28="Estate/Trust",Profile!$C$6="Estate/Trust")),"In scope","Out of scope")</x:f>
        <x:v>In scope</x:v>
      </x:c>
      <x:c r="H28" s="12" t="str">
        <x:f>"Not selected here"</x:f>
        <x:v>Not selected here</x:v>
      </x:c>
    </x:row>
    <x:row r="29" ht="46" customHeight="1">
      <x:c r="A29" s="15" t="str">
        <x:v>1800</x:v>
      </x:c>
      <x:c r="B29" s="15" t="str">
        <x:v>Donor tax</x:v>
      </x:c>
      <x:c r="C29" s="15" t="str">
        <x:v>Any</x:v>
      </x:c>
      <x:c r="D29" s="15" t="str">
        <x:v>Covered gift</x:v>
      </x:c>
      <x:c r="E29" s="15" t="str">
        <x:v>Event</x:v>
      </x:c>
      <x:c r="F29" s="15" t="str">
        <x:v>Not mapped</x:v>
      </x:c>
      <x:c r="G29" s="15" t="str">
        <x:f>IF(OR(C29="Any",AND(C29="Individual",Profile!$C$6="Individual"),AND(C29="Individual/Fiduciary",OR(Profile!$C$6="Individual",Profile!$C$6="Estate/Trust")),AND(C29="Non-individual",OR(Profile!$C$6="Corporation",Profile!$C$6="Partnership")),AND(C29="Estate/Trust",Profile!$C$6="Estate/Trust")),"In scope","Out of scope")</x:f>
        <x:v>In scope</x:v>
      </x:c>
      <x:c r="H29" s="15" t="str">
        <x:f>"Not selected here"</x:f>
        <x:v>Not selected here</x:v>
      </x:c>
    </x:row>
    <x:row r="30" ht="46" customHeight="1">
      <x:c r="A30" s="12" t="str">
        <x:v>1801</x:v>
      </x:c>
      <x:c r="B30" s="12" t="str">
        <x:v>Estate tax</x:v>
      </x:c>
      <x:c r="C30" s="12" t="str">
        <x:v>Estate/Trust</x:v>
      </x:c>
      <x:c r="D30" s="12" t="str">
        <x:v>Covered estate transfer</x:v>
      </x:c>
      <x:c r="E30" s="12" t="str">
        <x:v>Event</x:v>
      </x:c>
      <x:c r="F30" s="12" t="str">
        <x:v>Not mapped</x:v>
      </x:c>
      <x:c r="G30" s="12" t="str">
        <x:f>IF(OR(C30="Any",AND(C30="Individual",Profile!$C$6="Individual"),AND(C30="Individual/Fiduciary",OR(Profile!$C$6="Individual",Profile!$C$6="Estate/Trust")),AND(C30="Non-individual",OR(Profile!$C$6="Corporation",Profile!$C$6="Partnership")),AND(C30="Estate/Trust",Profile!$C$6="Estate/Trust")),"In scope","Out of scope")</x:f>
        <x:v>Out of scope</x:v>
      </x:c>
      <x:c r="H30" s="12" t="str">
        <x:f>"Not selected here"</x:f>
        <x:v>Not selected here</x:v>
      </x:c>
    </x:row>
    <x:row r="31" ht="46" customHeight="1">
      <x:c r="A31" s="15" t="str">
        <x:v>2000 / 2000-OT</x:v>
      </x:c>
      <x:c r="B31" s="15" t="str">
        <x:v>Documentary stamp tax</x:v>
      </x:c>
      <x:c r="C31" s="15" t="str">
        <x:v>Any</x:v>
      </x:c>
      <x:c r="D31" s="15" t="str">
        <x:v>Taxable document / transaction</x:v>
      </x:c>
      <x:c r="E31" s="15" t="str">
        <x:v>Event / periodic</x:v>
      </x:c>
      <x:c r="F31" s="15" t="str">
        <x:v>Not mapped</x:v>
      </x:c>
      <x:c r="G31" s="15" t="str">
        <x:f>IF(OR(C31="Any",AND(C31="Individual",Profile!$C$6="Individual"),AND(C31="Individual/Fiduciary",OR(Profile!$C$6="Individual",Profile!$C$6="Estate/Trust")),AND(C31="Non-individual",OR(Profile!$C$6="Corporation",Profile!$C$6="Partnership")),AND(C31="Estate/Trust",Profile!$C$6="Estate/Trust")),"In scope","Out of scope")</x:f>
        <x:v>In scope</x:v>
      </x:c>
      <x:c r="H31" s="15" t="str">
        <x:f>"Not selected here"</x:f>
        <x:v>Not selected here</x:v>
      </x:c>
    </x:row>
  </x:sheetData>
  <x:pageMargins left="0.7" right="0.7" top="0.75" bottom="0.75" header="0.3" footer="0.3"/>
  <x:tableParts count="1">
    <x:tablePart xmlns:r="http://schemas.openxmlformats.org/officeDocument/2006/relationships" r:id="Rdbc740f31ac449a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6" hidden="0" customWidth="1"/>
    <x:col min="3" max="3" width="82" hidden="0" customWidth="1"/>
    <x:col min="4" max="4" width="100" hidden="0" customWidth="1"/>
  </x:cols>
  <x:sheetData>
    <x:row r="1" ht="24" customHeight="1">
      <x:c r="A1" s="1" t="str">
        <x:v>Build notes and sources</x:v>
      </x:c>
    </x:row>
    <x:row r="2" ht="24" customHeight="1">
      <x:c r="A2" s="2" t="str">
        <x:v>Repository snapshot 1662ca37404ccc6c270ad48888eda3505ec45165; BIR research as of 28 Oct 2026.</x:v>
      </x:c>
    </x:row>
    <x:row r="3" ht="24" customHeight="1">
      <x:c r="A3" s="3" t="str">
        <x:v>Source URLs are primary BIR forms or pinned repository files. Review with a Philippine tax professional before production use.</x:v>
      </x:c>
    </x:row>
    <x:row r="5" ht="32" customHeight="1">
      <x:c r="A5" s="14" t="str">
        <x:v>Type / ID</x:v>
      </x:c>
      <x:c r="B5" s="14" t="str">
        <x:v>Topic / source</x:v>
      </x:c>
      <x:c r="C5" s="14" t="str">
        <x:v>Implementation or source note</x:v>
      </x:c>
      <x:c r="D5" s="14" t="str">
        <x:v>Reference / URL</x:v>
      </x:c>
    </x:row>
    <x:row r="6" ht="46" customHeight="1">
      <x:c r="A6" s="12" t="str">
        <x:v>Architecture</x:v>
      </x:c>
      <x:c r="B6" s="12" t="str">
        <x:v>COR and obligations</x:v>
      </x:c>
      <x:c r="C6" s="12" t="str">
        <x:v>Store the COR tax types and effective dates. Resolve actual forms from entity, registration, activity, election, time period and one-time events.</x:v>
      </x:c>
      <x:c r="D6" s="12" t="str">
        <x:v>Design rule</x:v>
      </x:c>
    </x:row>
    <x:row r="7" ht="46" customHeight="1">
      <x:c r="A7" s="15" t="str">
        <x:v>Architecture</x:v>
      </x:c>
      <x:c r="B7" s="15" t="str">
        <x:v>Separate accounting from tax</x:v>
      </x:c>
      <x:c r="C7" s="15" t="str">
        <x:v>Account answers what the transaction is. VAT/PT, ATC, deductibility, withholding, party, person, branch, time and evidence are separate attributes.</x:v>
      </x:c>
      <x:c r="D7" s="15" t="str">
        <x:v>Design rule</x:v>
      </x:c>
    </x:row>
    <x:row r="8" ht="46" customHeight="1">
      <x:c r="A8" s="12" t="str">
        <x:v>Architecture</x:v>
      </x:c>
      <x:c r="B8" s="12" t="str">
        <x:v>Many-to-many mappings</x:v>
      </x:c>
      <x:c r="C8" s="12" t="str">
        <x:v>A single posted event can feed multiple fields; fields aggregate multiple events. Store rule version, source, condition, sign, period, rounding and evidence.</x:v>
      </x:c>
      <x:c r="D8" s="12" t="str">
        <x:v>Design rule</x:v>
      </x:c>
    </x:row>
    <x:row r="9" ht="46" customHeight="1">
      <x:c r="A9" s="15" t="str">
        <x:v>Architecture</x:v>
      </x:c>
      <x:c r="B9" s="15" t="str">
        <x:v>Lineage</x:v>
      </x:c>
      <x:c r="C9" s="15" t="str">
        <x:v>For each derived field keep the form version, exact item, person A/B, period, tax type, source IDs, calculation, rule version and snapshot.</x:v>
      </x:c>
      <x:c r="D9" s="15" t="str">
        <x:v>Design rule</x:v>
      </x:c>
    </x:row>
    <x:row r="10" ht="46" customHeight="1">
      <x:c r="A10" s="12" t="str">
        <x:v>Architecture</x:v>
      </x:c>
      <x:c r="B10" s="12" t="str">
        <x:v>Keep tax controls distinct</x:v>
      </x:c>
      <x:c r="C10" s="12" t="str">
        <x:v>Income-tax creditable withholding, percentage-tax withholding, supplier EWT, employee WTC and VAT withholding are distinct tax types and roles.</x:v>
      </x:c>
      <x:c r="D10" s="12" t="str">
        <x:v>Design rule</x:v>
      </x:c>
    </x:row>
    <x:row r="11" ht="46" customHeight="1">
      <x:c r="A11" s="15" t="str">
        <x:v>Architecture</x:v>
      </x:c>
      <x:c r="B11" s="15" t="str">
        <x:v>Preserve existing PH keys</x:v>
      </x:c>
      <x:c r="C11" s="15" t="str">
        <x:v>Use the frozen ph-chart.ts keys / numbers and philippines_smb preset. Proposed keys in this workbook are not implemented or assigned numbers.</x:v>
      </x:c>
      <x:c r="D11" s="15" t="str">
        <x:v>Repo R1 / R2</x:v>
      </x:c>
    </x:row>
    <x:row r="12" ht="46" customHeight="1">
      <x:c r="A12" s="12" t="str">
        <x:v>Architecture</x:v>
      </x:c>
      <x:c r="B12" s="12" t="str">
        <x:v>Do not add global tax mapping blindly</x:v>
      </x:c>
      <x:c r="C12" s="12" t="str">
        <x:v>The existing category_mappings registry has global completeness requirements. Use the existing PH resolver; design a versioned field mapping as a separate tax layer.</x:v>
      </x:c>
      <x:c r="D12" s="12" t="str">
        <x:v>Repo R3</x:v>
      </x:c>
    </x:row>
    <x:row r="13" ht="46" customHeight="1">
      <x:c r="A13" s="15" t="str">
        <x:v>Architecture</x:v>
      </x:c>
      <x:c r="B13" s="15" t="str">
        <x:v>Posted data and corrections</x:v>
      </x:c>
      <x:c r="C13" s="15" t="str">
        <x:v>Derive from posted source events, include reversals / credit notes once, support amended return prior payments, freeze the as-filed snapshot.</x:v>
      </x:c>
      <x:c r="D13" s="15" t="str">
        <x:v>Repo R6</x:v>
      </x:c>
    </x:row>
    <x:row r="14" ht="46" customHeight="1">
      <x:c r="A14" s="12" t="str">
        <x:v>Coverage</x:v>
      </x:c>
      <x:c r="B14" s="12" t="str">
        <x:v>Three detailed dictionaries</x:v>
      </x:c>
      <x:c r="C14" s="12" t="str">
        <x:v>2551Q Jan 2018, 1601-C Jan 2018 and 1701-MS Aug 2024 include numbered items and repeated schedule/payment subfields.</x:v>
      </x:c>
      <x:c r="D14" s="12" t="str">
        <x:v>Sources S1–S3</x:v>
      </x:c>
    </x:row>
    <x:row r="15" ht="46" customHeight="1">
      <x:c r="A15" s="15" t="str">
        <x:v>Coverage</x:v>
      </x:c>
      <x:c r="B15" s="15" t="str">
        <x:v>Other forms</x:v>
      </x:c>
      <x:c r="C15" s="15" t="str">
        <x:v>The Form catalog is an obligation inventory, not a full field map. 1701Q, corporate returns, VAT and other forms require their own versioned dictionaries.</x:v>
      </x:c>
      <x:c r="D15" s="15" t="str">
        <x:v>Scope</x:v>
      </x:c>
    </x:row>
    <x:row r="16" ht="46" customHeight="1">
      <x:c r="A16" s="12" t="str">
        <x:v>Coverage</x:v>
      </x:c>
      <x:c r="B16" s="12" t="str">
        <x:v>1701-MS entity and scope</x:v>
      </x:c>
      <x:c r="C16" s="12" t="str">
        <x:v>The annual return is an alternative for qualifying micro/small individuals. Check special rate, activity, regime and spouse limitations from the applicable form.</x:v>
      </x:c>
      <x:c r="D16" s="12" t="str">
        <x:v>Source S3 / S4</x:v>
      </x:c>
    </x:row>
    <x:row r="17" ht="46" customHeight="1">
      <x:c r="A17" s="15" t="str">
        <x:v>Coverage</x:v>
      </x:c>
      <x:c r="B17" s="15" t="str">
        <x:v>COR does not choose method</x:v>
      </x:c>
      <x:c r="C17" s="15" t="str">
        <x:v>Do not infer 8%, OSD, itemization, payroll facts or one-time events solely from a form list or COR.</x:v>
      </x:c>
      <x:c r="D17" s="15" t="str">
        <x:v>Source S4 / S5</x:v>
      </x:c>
    </x:row>
    <x:row r="18" ht="46" customHeight="1">
      <x:c r="A18" s="12" t="str">
        <x:v>Review finding</x:v>
      </x:c>
      <x:c r="B18" s="12" t="str">
        <x:v>1601-C item 19</x:v>
      </x:c>
      <x:c r="C18" s="12" t="str">
        <x:v>Current compensationFromPayrollLine() aggregates non-taxable components but does not accept employee-share contributions; payroll_lines stores them separately. Verify and map 1601-C item 19 before relying on item 22.</x:v>
      </x:c>
      <x:c r="D18" s="12" t="str">
        <x:v>Repo R4 / R5, S2</x:v>
      </x:c>
    </x:row>
    <x:row r="19" ht="46" customHeight="1">
      <x:c r="A19" s="15" t="str">
        <x:v>Review finding</x:v>
      </x:c>
      <x:c r="B19" s="15" t="str">
        <x:v>Payroll exemptions</x:v>
      </x:c>
      <x:c r="C19" s="15" t="str">
        <x:v>Validate taxable vs exempt portions of 13th-month benefits and de minimis by employee and year; the form needs item-level amounts, not only one non-taxable total.</x:v>
      </x:c>
      <x:c r="D19" s="15" t="str">
        <x:v>Repo R4 / R5, S2</x:v>
      </x:c>
    </x:row>
    <x:row r="20" ht="46" customHeight="1">
      <x:c r="A20" s="12" t="str">
        <x:v>Review finding</x:v>
      </x:c>
      <x:c r="B20" s="12" t="str">
        <x:v>8% and threshold inputs</x:v>
      </x:c>
      <x:c r="C20" s="12" t="str">
        <x:v>The current regime input exposes grossReceipts, but the 8% eligibility rules also refer to other non-operating income and other restrictions. Add explicit inputs / legal checks.</x:v>
      </x:c>
      <x:c r="D20" s="12" t="str">
        <x:v>Repo R7, S5</x:v>
      </x:c>
    </x:row>
    <x:row r="21" ht="46" customHeight="1">
      <x:c r="A21" s="15" t="str">
        <x:v>Review finding</x:v>
      </x:c>
      <x:c r="B21" s="15" t="str">
        <x:v>8% transition + 2551Q</x:v>
      </x:c>
      <x:c r="C21" s="15" t="str">
        <x:v>The current 2551Q helper blocks an 8% election generically. Review threshold-breach transition periods and other percentage-tax ATCs before using this as a universal rule.</x:v>
      </x:c>
      <x:c r="D21" s="15" t="str">
        <x:v>Repo R7, S5</x:v>
      </x:c>
    </x:row>
    <x:row r="22" ht="46" customHeight="1">
      <x:c r="A22" s="12" t="str">
        <x:v>Review finding</x:v>
      </x:c>
      <x:c r="B22" s="12" t="str">
        <x:v>1701-MS implementation</x:v>
      </x:c>
      <x:c r="C22" s="12" t="str">
        <x:v>The current ComputedReturnForm type does not list 1701-MS. The dictionary is a proposed extension, not a claim the current app already emits the return.</x:v>
      </x:c>
      <x:c r="D22" s="12" t="str">
        <x:v>Repo R8</x:v>
      </x:c>
    </x:row>
    <x:row r="23" ht="46" customHeight="1">
      <x:c r="A23" s="15" t="str">
        <x:v>Rounding</x:v>
      </x:c>
      <x:c r="B23" s="15" t="str">
        <x:v>1701-MS</x:v>
      </x:c>
      <x:c r="C23" s="15" t="str">
        <x:v>The printed form instructs whole-peso entries: 49 centavos or less down; 50 or more up. Keep full precision internally and apply the form’s field-level rules.</x:v>
      </x:c>
      <x:c r="D23" s="15" t="str">
        <x:v>Source S3</x:v>
      </x:c>
    </x:row>
    <x:row r="24" ht="46" customHeight="1">
      <x:c r="A24" s="12" t="str">
        <x:v>Rounding</x:v>
      </x:c>
      <x:c r="B24" s="12" t="str">
        <x:v>2551Q / 1601-C</x:v>
      </x:c>
      <x:c r="C24" s="12" t="str">
        <x:v>Retain decimal pesos as required by the specific form version; apply versioned official rules and reconcile before export.</x:v>
      </x:c>
      <x:c r="D24" s="12" t="str">
        <x:v>Sources S1 / S2</x:v>
      </x:c>
    </x:row>
    <x:row r="25" ht="46" customHeight="1">
      <x:c r="A25" s="15" t="str">
        <x:v>Current rule</x:v>
      </x:c>
      <x:c r="B25" s="15" t="str">
        <x:v>Invoice and creditable withholding</x:v>
      </x:c>
      <x:c r="C25" s="15" t="str">
        <x:v>RR 6-2026 / RMC 112-2026 add applicable CWT presentation to invoices. An invoice entry does not replace the 2307 supporting the credit.</x:v>
      </x:c>
      <x:c r="D25" s="15" t="str">
        <x:v>Source S6</x:v>
      </x:c>
    </x:row>
    <x:row r="26" ht="46" customHeight="1">
      <x:c r="A26" s="12" t="str">
        <x:v>Reconciliation</x:v>
      </x:c>
      <x:c r="B26" s="12" t="str">
        <x:v>Payroll</x:v>
      </x:c>
      <x:c r="C26" s="12" t="str">
        <x:v>Employee gross and exemption components → 1601-C; employee tax detail ↔ posted withholding control movement, excluding unrelated settlement movement.</x:v>
      </x:c>
      <x:c r="D26" s="12" t="str">
        <x:v>Repo R4 / S2</x:v>
      </x:c>
    </x:row>
    <x:row r="27" ht="46" customHeight="1">
      <x:c r="A27" s="15" t="str">
        <x:v>Reconciliation</x:v>
      </x:c>
      <x:c r="B27" s="15" t="str">
        <x:v>Sales</x:v>
      </x:c>
      <x:c r="C27" s="15" t="str">
        <x:v>Sales ledger / invoices ↔ ATC-specific 2551Q quarter ↔ 1701-MS annual sales. Differences need period, tax-type, exemption or adjustment explanations.</x:v>
      </x:c>
      <x:c r="D27" s="15" t="str">
        <x:v>Sources S1 / S3</x:v>
      </x:c>
    </x:row>
    <x:row r="28" ht="46" customHeight="1">
      <x:c r="A28" s="12" t="str">
        <x:v>S1</x:v>
      </x:c>
      <x:c r="B28" s="12" t="str">
        <x:v>BIR 2551Q January 2018 ENCS</x:v>
      </x:c>
      <x:c r="C28" s="12" t="str">
        <x:v>Official blank form and schedule</x:v>
      </x:c>
      <x:c r="D28" s="12" t="str">
        <x:v>https://bir-cdn.bir.gov.ph/local/pdf/2551Q%20Jan%202018%20ENCS%20final%20rev%203_copy.pdf</x:v>
      </x:c>
    </x:row>
    <x:row r="29" ht="46" customHeight="1">
      <x:c r="A29" s="15" t="str">
        <x:v>S2</x:v>
      </x:c>
      <x:c r="B29" s="15" t="str">
        <x:v>BIR 1601-C January 2018 ENCS</x:v>
      </x:c>
      <x:c r="C29" s="15" t="str">
        <x:v>Official blank form, computation, schedule</x:v>
      </x:c>
      <x:c r="D29" s="15" t="str">
        <x:v>https://bir-cdn.bir.gov.ph/local/pdf/1601C%20final%20Jan%202018%20with%20DPA.pdf</x:v>
      </x:c>
    </x:row>
    <x:row r="30" ht="46" customHeight="1">
      <x:c r="A30" s="12" t="str">
        <x:v>S3</x:v>
      </x:c>
      <x:c r="B30" s="12" t="str">
        <x:v>BIR 1701-MS August 2024</x:v>
      </x:c>
      <x:c r="C30" s="12" t="str">
        <x:v>Official blank form, parts I–VI</x:v>
      </x:c>
      <x:c r="D30" s="12" t="str">
        <x:v>https://bir-cdn.bir.gov.ph/BIR/pdf/1701-MS%20August%202024%20Fillable_01.pdf</x:v>
      </x:c>
    </x:row>
    <x:row r="31" ht="46" customHeight="1">
      <x:c r="A31" s="15" t="str">
        <x:v>S4</x:v>
      </x:c>
      <x:c r="B31" s="15" t="str">
        <x:v>RMC 20-2026 Annex C</x:v>
      </x:c>
      <x:c r="C31" s="15" t="str">
        <x:v>1701 / 1701A / 1701-MS alternatives and eligibility</x:v>
      </x:c>
      <x:c r="D31" s="15" t="str">
        <x:v>https://bir-cdn.bir.gov.ph/BIR/pdf/RMC%2020-2026%20Annex%20C%20%283%29.pdf</x:v>
      </x:c>
    </x:row>
    <x:row r="32" ht="46" customHeight="1">
      <x:c r="A32" s="12" t="str">
        <x:v>S5</x:v>
      </x:c>
      <x:c r="B32" s="12" t="str">
        <x:v>RR 8-2018</x:v>
      </x:c>
      <x:c r="C32" s="12" t="str">
        <x:v>8% election, threshold, mixed income and transition</x:v>
      </x:c>
      <x:c r="D32" s="12" t="str">
        <x:v>https://bir-cdn.bir.gov.ph/local/pdf/RR%20No.%208-2018.pdf</x:v>
      </x:c>
    </x:row>
    <x:row r="33" ht="46" customHeight="1">
      <x:c r="A33" s="15" t="str">
        <x:v>S6</x:v>
      </x:c>
      <x:c r="B33" s="15" t="str">
        <x:v>RMC 112-2026</x:v>
      </x:c>
      <x:c r="C33" s="15" t="str">
        <x:v>Creditable withholding presentation on invoices</x:v>
      </x:c>
      <x:c r="D33" s="15" t="str">
        <x:v>https://bir-cdn.bir.gov.ph/BIR/pdf/RMC%20No.%20112-2026_redacted.pdf</x:v>
      </x:c>
    </x:row>
    <x:row r="34" ht="46" customHeight="1">
      <x:c r="A34" s="12" t="str">
        <x:v>S7</x:v>
      </x:c>
      <x:c r="B34" s="12" t="str">
        <x:v>RR 3-2024</x:v>
      </x:c>
      <x:c r="C34" s="12" t="str">
        <x:v>EOPT VAT / percentage-tax timing and invoices</x:v>
      </x:c>
      <x:c r="D34" s="12" t="str">
        <x:v>https://bir-cdn.bir.gov.ph/BIR/pdf/RR%203-2024%20%28final%29.pdf</x:v>
      </x:c>
    </x:row>
    <x:row r="35" ht="46" customHeight="1">
      <x:c r="A35" s="15" t="str">
        <x:v>R1</x:v>
      </x:c>
      <x:c r="B35" s="15" t="str">
        <x:v>Buwiz PH chart at pinned commit</x:v>
      </x:c>
      <x:c r="C35" s="15" t="str">
        <x:v>Frozen PH keys and account numbers</x:v>
      </x:c>
      <x:c r="D35" s="15" t="str">
        <x:v>https://github.com/hexuria/buwiz-books/blob/1662ca37404ccc6c270ad48888eda3505ec45165/src/lib/tax/ph-chart.ts</x:v>
      </x:c>
    </x:row>
    <x:row r="36" ht="46" customHeight="1">
      <x:c r="A36" s="12" t="str">
        <x:v>R2</x:v>
      </x:c>
      <x:c r="B36" s="12" t="str">
        <x:v>Buwiz PH preset at pinned commit</x:v>
      </x:c>
      <x:c r="C36" s="12" t="str">
        <x:v>Existing base + PH preset</x:v>
      </x:c>
      <x:c r="D36" s="12" t="str">
        <x:v>https://github.com/hexuria/buwiz-books/blob/1662ca37404ccc6c270ad48888eda3505ec45165/src/lib/coa/presets/philippines-smb.ts</x:v>
      </x:c>
    </x:row>
    <x:row r="37" ht="46" customHeight="1">
      <x:c r="A37" s="15" t="str">
        <x:v>R3</x:v>
      </x:c>
      <x:c r="B37" s="15" t="str">
        <x:v>Buwiz PH account resolver</x:v>
      </x:c>
      <x:c r="C37" s="15" t="str">
        <x:v>Why PH controls avoid the global category_mappings registry</x:v>
      </x:c>
      <x:c r="D37" s="15" t="str">
        <x:v>https://github.com/hexuria/buwiz-books/blob/1662ca37404ccc6c270ad48888eda3505ec45165/src/lib/tax/ph-account-resolver.ts</x:v>
      </x:c>
    </x:row>
    <x:row r="38" ht="46" customHeight="1">
      <x:c r="A38" s="12" t="str">
        <x:v>R4</x:v>
      </x:c>
      <x:c r="B38" s="12" t="str">
        <x:v>Buwiz 1601-C calculation</x:v>
      </x:c>
      <x:c r="C38" s="12" t="str">
        <x:v>Payroll conversion and control-account reconciliation</x:v>
      </x:c>
      <x:c r="D38" s="12" t="str">
        <x:v>https://github.com/hexuria/buwiz-books/blob/1662ca37404ccc6c270ad48888eda3505ec45165/src/lib/tax/form-1601c.ts</x:v>
      </x:c>
    </x:row>
    <x:row r="39" ht="46" customHeight="1">
      <x:c r="A39" s="15" t="str">
        <x:v>R5</x:v>
      </x:c>
      <x:c r="B39" s="15" t="str">
        <x:v>Buwiz payroll schema</x:v>
      </x:c>
      <x:c r="C39" s="15" t="str">
        <x:v>Employee payroll component and employee-share data</x:v>
      </x:c>
      <x:c r="D39" s="15" t="str">
        <x:v>https://github.com/hexuria/buwiz-books/blob/1662ca37404ccc6c270ad48888eda3505ec45165/src/db/schema/payroll.ts</x:v>
      </x:c>
    </x:row>
    <x:row r="40" ht="46" customHeight="1">
      <x:c r="A40" s="12" t="str">
        <x:v>R6</x:v>
      </x:c>
      <x:c r="B40" s="12" t="str">
        <x:v>Buwiz filing snapshot</x:v>
      </x:c>
      <x:c r="C40" s="12" t="str">
        <x:v>As-filed snapshot and versioning</x:v>
      </x:c>
      <x:c r="D40" s="12" t="str">
        <x:v>https://github.com/hexuria/buwiz-books/blob/1662ca37404ccc6c270ad48888eda3505ec45165/src/lib/tax/filing-snapshot.ts</x:v>
      </x:c>
    </x:row>
    <x:row r="41" ht="46" customHeight="1">
      <x:c r="A41" s="15" t="str">
        <x:v>R7</x:v>
      </x:c>
      <x:c r="B41" s="15" t="str">
        <x:v>Buwiz percentage tax helper</x:v>
      </x:c>
      <x:c r="C41" s="15" t="str">
        <x:v>Current 8% / percentage tax input and return guard</x:v>
      </x:c>
      <x:c r="D41" s="15" t="str">
        <x:v>https://github.com/hexuria/buwiz-books/blob/1662ca37404ccc6c270ad48888eda3505ec45165/src/lib/tax/percentage-tax.ts</x:v>
      </x:c>
    </x:row>
    <x:row r="42" ht="46" customHeight="1">
      <x:c r="A42" s="12" t="str">
        <x:v>R8</x:v>
      </x:c>
      <x:c r="B42" s="12" t="str">
        <x:v>Buwiz tax-stage schema</x:v>
      </x:c>
      <x:c r="C42" s="12" t="str">
        <x:v>Existing tax-election and computed-return types</x:v>
      </x:c>
      <x:c r="D42" s="12" t="str">
        <x:v>https://github.com/hexuria/buwiz-books/blob/1662ca37404ccc6c270ad48888eda3505ec45165/src/db/schema/tax-stage-remainder.ts</x:v>
      </x:c>
    </x:row>
    <x:row r="43" ht="46" customHeight="1">
      <x:c r="A43" s="15" t="str">
        <x:v>R9</x:v>
      </x:c>
      <x:c r="B43" s="15" t="str">
        <x:v>Buwiz base chart</x:v>
      </x:c>
      <x:c r="C43" s="15" t="str">
        <x:v>Existing chart account keys and numbers</x:v>
      </x:c>
      <x:c r="D43" s="15" t="str">
        <x:v>https://github.com/hexuria/buwiz-books/blob/1662ca37404ccc6c270ad48888eda3505ec45165/src/lib/coa/presets/base.ts</x:v>
      </x:c>
    </x:row>
  </x:sheetData>
  <x:pageMargins left="0.7" right="0.7" top="0.75" bottom="0.75" header="0.3" footer="0.3"/>
  <x:tableParts count="1">
    <x:tablePart xmlns:r="http://schemas.openxmlformats.org/officeDocument/2006/relationships" r:id="Ra474816926ed4e4c"/>
  </x:tableParts>
</x:worksheet>
</file>