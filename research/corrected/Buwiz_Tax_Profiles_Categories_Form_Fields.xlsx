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file" sheetId="1" state="visible" r:id="rId1"/>
    <sheet name="Category catalog" sheetId="2" state="visible" r:id="rId2"/>
    <sheet name="Category field rules" sheetId="3" state="visible" r:id="rId3"/>
    <sheet name="2551Q fields" sheetId="4" state="visible" r:id="rId4"/>
    <sheet name="1601-C fields" sheetId="5" state="visible" r:id="rId5"/>
    <sheet name="1701-MS fields" sheetId="6" state="visible" r:id="rId6"/>
    <sheet name="Worked example" sheetId="7" state="visible" r:id="rId7"/>
    <sheet name="Example data" sheetId="8" state="visible" r:id="rId8"/>
    <sheet name="Form catalog" sheetId="9" state="visible" r:id="rId9"/>
    <sheet name="Build notes and sources" sheetId="10" state="visible" r:id="rId10"/>
    <sheet name="Corrections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13">
    <font>
      <name val="Carlito"/>
      <sz val="11"/>
    </font>
    <font>
      <name val="Arial"/>
      <b val="1"/>
      <color rgb="FF17324D"/>
      <sz val="15"/>
    </font>
    <font>
      <name val="Arial"/>
      <i val="1"/>
      <color rgb="FF526474"/>
      <sz val="10"/>
    </font>
    <font>
      <name val="Arial"/>
      <color rgb="FF526474"/>
      <sz val="10"/>
    </font>
    <font>
      <name val="Arial"/>
      <b val="1"/>
      <color rgb="FFFFFFFF"/>
      <sz val="10"/>
    </font>
    <font>
      <name val="Arial"/>
      <color rgb="FF1C2935"/>
      <sz val="10"/>
    </font>
    <font>
      <name val="Arial"/>
      <b val="1"/>
      <color rgb="FF17324D"/>
      <sz val="11"/>
    </font>
    <font>
      <name val="Arial"/>
      <color rgb="FF7B4D00"/>
      <sz val="10"/>
    </font>
    <font>
      <name val="Arial"/>
      <b val="1"/>
      <color rgb="FF1C2935"/>
      <sz val="10"/>
    </font>
    <font>
      <name val="Arial"/>
      <b val="1"/>
      <color rgb="FF17324D"/>
      <sz val="10"/>
    </font>
    <font>
      <b val="1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1CC"/>
      </patternFill>
    </fill>
    <fill>
      <patternFill patternType="solid">
        <fgColor rgb="FFF4F7FA"/>
      </patternFill>
    </fill>
    <fill>
      <patternFill patternType="solid">
        <fgColor rgb="FF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wrapText="1"/>
    </xf>
    <xf numFmtId="9" fontId="0" fillId="3" borderId="0" pivotButton="0" quotePrefix="0" xfId="0"/>
    <xf numFmtId="4" fontId="0" fillId="3" borderId="0" pivotButton="0" quotePrefix="0" xfId="0"/>
    <xf numFmtId="9" fontId="0" fillId="0" borderId="0" pivotButton="0" quotePrefix="0" xfId="0"/>
    <xf numFmtId="0" fontId="8" fillId="2" borderId="0" pivotButton="0" quotePrefix="0" xfId="0"/>
    <xf numFmtId="9" fontId="5" fillId="0" borderId="0" pivotButton="0" quotePrefix="0" xfId="0"/>
    <xf numFmtId="0" fontId="5" fillId="5" borderId="0" pivotButton="0" quotePrefix="0" xfId="0"/>
    <xf numFmtId="0" fontId="9" fillId="5" borderId="0" pivotButton="0" quotePrefix="0" xfId="0"/>
    <xf numFmtId="164" fontId="5" fillId="0" borderId="0" pivotButton="0" quotePrefix="0" xfId="0"/>
    <xf numFmtId="164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0" borderId="0" pivotButton="0" quotePrefix="0" xfId="0"/>
    <xf numFmtId="9" fontId="5" fillId="0" borderId="0" pivotButton="0" quotePrefix="0" xfId="0"/>
    <xf numFmtId="164" fontId="9" fillId="5" borderId="0" pivotButton="0" quotePrefix="0" xfId="0"/>
    <xf numFmtId="4" fontId="0" fillId="3" borderId="0" pivotButton="0" quotePrefix="0" xfId="0"/>
    <xf numFmtId="9" fontId="0" fillId="3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tegoryCatalog" displayName="CategoryCatalog" ref="A5:I67" headerRowCount="1" totalsRowCount="0" totalsRowShown="0">
  <autoFilter ref="A5:I67"/>
  <tableColumns count="9">
    <tableColumn id="1" name="Category key"/>
    <tableColumn id="2" name="Display name"/>
    <tableColumn id="3" name="Account type"/>
    <tableColumn id="4" name="Account no."/>
    <tableColumn id="5" name="Origin"/>
    <tableColumn id="6" name="Activation rule"/>
    <tableColumn id="7" name="Selection"/>
    <tableColumn id="8" name="Purpose"/>
    <tableColumn id="9" name="Checks / tax dime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pingRules" displayName="MappingRules" ref="A5:G57" headerRowCount="1" totalsRowCount="0" totalsRowShown="0">
  <autoFilter ref="A5:G57"/>
  <tableColumns count="7">
    <tableColumn id="1" name="Category key"/>
    <tableColumn id="2" name="Form"/>
    <tableColumn id="3" name="Target field"/>
    <tableColumn id="4" name="Mapping method"/>
    <tableColumn id="5" name="Period"/>
    <tableColumn id="6" name="Required filter / dimension"/>
    <tableColumn id="7" name="Review or exclu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s2551Q" displayName="Fields2551Q" ref="A5:H77" headerRowCount="1" totalsRowCount="0" totalsRowShown="0">
  <autoFilter ref="A5:H77"/>
  <tableColumns count="8">
    <tableColumn id="1" name="Section"/>
    <tableColumn id="2" name="Field ID"/>
    <tableColumn id="3" name="BIR field"/>
    <tableColumn id="4" name="Origin"/>
    <tableColumn id="5" name="Source / data"/>
    <tableColumn id="6" name="Rule or condition"/>
    <tableColumn id="7" name="Grain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elds1601C" displayName="Fields1601C" ref="A5:H84" headerRowCount="1" totalsRowCount="0" totalsRowShown="0">
  <autoFilter ref="A5:H84"/>
  <tableColumns count="8">
    <tableColumn id="1" name="Section"/>
    <tableColumn id="2" name="Field ID"/>
    <tableColumn id="3" name="BIR field"/>
    <tableColumn id="4" name="Origin"/>
    <tableColumn id="5" name="Source / data"/>
    <tableColumn id="6" name="Rule or condition"/>
    <tableColumn id="7" name="Grain"/>
    <tableColumn id="8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elds1701MS" displayName="Fields1701MS" ref="A5:H101" headerRowCount="1" totalsRowCount="0" totalsRowShown="0">
  <autoFilter ref="A5:H101"/>
  <tableColumns count="8">
    <tableColumn id="1" name="Section"/>
    <tableColumn id="2" name="Field ID"/>
    <tableColumn id="3" name="BIR field"/>
    <tableColumn id="4" name="Origin"/>
    <tableColumn id="5" name="Source / data"/>
    <tableColumn id="6" name="Rule or condition"/>
    <tableColumn id="7" name="Grain"/>
    <tableColumn id="8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rmCatalog" displayName="FormCatalog" ref="A5:H31" headerRowCount="1" totalsRowCount="0" totalsRowShown="0">
  <autoFilter ref="A5:H31"/>
  <tableColumns count="8">
    <tableColumn id="1" name="Form"/>
    <tableColumn id="2" name="Purpose"/>
    <tableColumn id="3" name="Entity scope"/>
    <tableColumn id="4" name="Typical trigger"/>
    <tableColumn id="5" name="Frequency"/>
    <tableColumn id="6" name="Coverage"/>
    <tableColumn id="7" name="Entity screen"/>
    <tableColumn id="8" name="Profile sele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uildNotesSources" displayName="BuildNotesSources" ref="A5:D43" headerRowCount="1" totalsRowCount="0" totalsRowShown="0">
  <autoFilter ref="A5:D43"/>
  <tableColumns count="4">
    <tableColumn id="1" name="Type / ID"/>
    <tableColumn id="2" name="Topic / source"/>
    <tableColumn id="3" name="Implementation or source note"/>
    <tableColumn id="4" name="Reference /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2" customWidth="1" min="2" max="2"/>
    <col width="24" customWidth="1" min="3" max="3"/>
    <col width="4" customWidth="1" min="4" max="4"/>
    <col width="28" customWidth="1" min="5" max="5"/>
    <col width="34" customWidth="1" min="6" max="6"/>
    <col width="18" customWidth="1" min="7" max="7"/>
  </cols>
  <sheetData>
    <row r="1" ht="24" customHeight="1">
      <c r="A1" s="1" t="inlineStr">
        <is>
          <t>Buwiz Books: tax profile and category selection</t>
        </is>
      </c>
    </row>
    <row r="2" ht="24" customHeight="1">
      <c r="A2" s="2" t="inlineStr">
        <is>
          <t>Choose a legal filer and mark relevant forms in both panels. Yellow cells are editable.</t>
        </is>
      </c>
    </row>
    <row r="3" ht="24" customHeight="1">
      <c r="A3" s="3" t="inlineStr">
        <is>
          <t>This is a design selector, not a determination of legal filing obligations.</t>
        </is>
      </c>
    </row>
    <row r="5" ht="25" customHeight="1">
      <c r="A5" s="5" t="inlineStr">
        <is>
          <t>Profile attribute</t>
        </is>
      </c>
      <c r="B5" s="5" t="inlineStr">
        <is>
          <t>Meaning</t>
        </is>
      </c>
      <c r="C5" s="5" t="inlineStr">
        <is>
          <t>Value</t>
        </is>
      </c>
      <c r="E5" s="5" t="inlineStr">
        <is>
          <t>Additional forms</t>
        </is>
      </c>
      <c r="F5" s="5" t="inlineStr">
        <is>
          <t>Purpose</t>
        </is>
      </c>
      <c r="G5" s="5" t="inlineStr">
        <is>
          <t>Selected</t>
        </is>
      </c>
    </row>
    <row r="6" ht="25" customHeight="1">
      <c r="A6" s="6" t="inlineStr">
        <is>
          <t>Filer type</t>
        </is>
      </c>
      <c r="B6" s="6" t="inlineStr">
        <is>
          <t>Legal form</t>
        </is>
      </c>
      <c r="C6" s="7" t="inlineStr">
        <is>
          <t>Individual</t>
        </is>
      </c>
      <c r="E6" t="inlineStr">
        <is>
          <t>1701Q</t>
        </is>
      </c>
      <c r="F6" t="inlineStr">
        <is>
          <t>Individual quarterly income tax</t>
        </is>
      </c>
      <c r="G6" s="8" t="inlineStr">
        <is>
          <t>Yes</t>
        </is>
      </c>
    </row>
    <row r="7" ht="25" customHeight="1">
      <c r="A7" s="6" t="inlineStr">
        <is>
          <t>2551Q selected</t>
        </is>
      </c>
      <c r="B7" s="6" t="inlineStr">
        <is>
          <t>Quarterly percentage tax</t>
        </is>
      </c>
      <c r="C7" s="7" t="inlineStr">
        <is>
          <t>Yes</t>
        </is>
      </c>
      <c r="E7" t="inlineStr">
        <is>
          <t>1702 group</t>
        </is>
      </c>
      <c r="F7" t="inlineStr">
        <is>
          <t>Corporate / partnership income tax</t>
        </is>
      </c>
      <c r="G7" s="8" t="inlineStr">
        <is>
          <t>No</t>
        </is>
      </c>
    </row>
    <row r="8" ht="25" customHeight="1">
      <c r="A8" s="6" t="inlineStr">
        <is>
          <t>1601-C selected</t>
        </is>
      </c>
      <c r="B8" s="6" t="inlineStr">
        <is>
          <t>Employer compensation withholding</t>
        </is>
      </c>
      <c r="C8" s="7" t="inlineStr">
        <is>
          <t>Yes</t>
        </is>
      </c>
      <c r="E8" t="inlineStr">
        <is>
          <t>2550Q</t>
        </is>
      </c>
      <c r="F8" t="inlineStr">
        <is>
          <t>VAT</t>
        </is>
      </c>
      <c r="G8" s="8" t="inlineStr">
        <is>
          <t>No</t>
        </is>
      </c>
    </row>
    <row r="9" ht="25" customHeight="1">
      <c r="A9" s="6" t="inlineStr">
        <is>
          <t>1701-MS selected</t>
        </is>
      </c>
      <c r="B9" s="6" t="inlineStr">
        <is>
          <t>Eligible micro / small annual individual return</t>
        </is>
      </c>
      <c r="C9" s="7" t="inlineStr">
        <is>
          <t>Yes</t>
        </is>
      </c>
      <c r="E9" t="inlineStr">
        <is>
          <t>0619-E / 1601-EQ</t>
        </is>
      </c>
      <c r="F9" t="inlineStr">
        <is>
          <t>Supplier expanded withholding</t>
        </is>
      </c>
      <c r="G9" s="8" t="inlineStr">
        <is>
          <t>No</t>
        </is>
      </c>
    </row>
    <row r="10" ht="25" customHeight="1">
      <c r="A10" s="6" t="inlineStr">
        <is>
          <t>Income tax regime</t>
        </is>
      </c>
      <c r="B10" s="6" t="inlineStr">
        <is>
          <t>For the annual return</t>
        </is>
      </c>
      <c r="C10" s="7" t="inlineStr">
        <is>
          <t>Graduated</t>
        </is>
      </c>
      <c r="E10" t="inlineStr">
        <is>
          <t>1701 / 1701A</t>
        </is>
      </c>
      <c r="F10" t="inlineStr">
        <is>
          <t>Other individual annual return</t>
        </is>
      </c>
      <c r="G10" s="8" t="inlineStr">
        <is>
          <t>No</t>
        </is>
      </c>
    </row>
    <row r="11" ht="25" customHeight="1">
      <c r="A11" s="6" t="inlineStr">
        <is>
          <t>Deduction method</t>
        </is>
      </c>
      <c r="B11" s="6" t="inlineStr">
        <is>
          <t>When graduated rates apply</t>
        </is>
      </c>
      <c r="C11" s="7" t="inlineStr">
        <is>
          <t>OSD</t>
        </is>
      </c>
    </row>
    <row r="12" ht="25" customHeight="1">
      <c r="A12" s="6" t="inlineStr">
        <is>
          <t>Filer earns compensation</t>
        </is>
      </c>
      <c r="B12" s="6" t="inlineStr">
        <is>
          <t>Owner/taxpayer salary, not employee payroll</t>
        </is>
      </c>
      <c r="C12" s="7" t="inlineStr">
        <is>
          <t>No</t>
        </is>
      </c>
      <c r="E12" t="inlineStr">
        <is>
          <t>These extra forms suggest categories only. Their detailed form-field dictionaries are not yet included.</t>
        </is>
      </c>
    </row>
    <row r="13" ht="25" customHeight="1">
      <c r="A13" s="6" t="inlineStr">
        <is>
          <t>Taxable year</t>
        </is>
      </c>
      <c r="B13" s="6" t="inlineStr">
        <is>
          <t>Reference only; the worked example is fixed</t>
        </is>
      </c>
      <c r="C13" s="7" t="n">
        <v>2026</v>
      </c>
      <c r="E13" t="inlineStr">
        <is>
          <t>1702 group = 1702Q and the applicable 1702 annual return; confirm exact obligations.</t>
        </is>
      </c>
    </row>
    <row r="14" ht="25" customHeight="1">
      <c r="A14" s="6" t="inlineStr">
        <is>
          <t>Quarter example</t>
        </is>
      </c>
      <c r="B14" s="6" t="inlineStr">
        <is>
          <t>Reference only; the worked example is fixed</t>
        </is>
      </c>
      <c r="C14" s="7" t="n">
        <v>3</v>
      </c>
    </row>
    <row r="15" ht="25" customHeight="1">
      <c r="A15" s="6" t="inlineStr">
        <is>
          <t>Month example</t>
        </is>
      </c>
      <c r="B15" s="6" t="inlineStr">
        <is>
          <t>Reference only; the worked example is fixed</t>
        </is>
      </c>
      <c r="C15" s="7" t="n">
        <v>9</v>
      </c>
    </row>
    <row r="17">
      <c r="A17" s="9" t="inlineStr">
        <is>
          <t>Profile review</t>
        </is>
      </c>
    </row>
    <row r="18">
      <c r="A18" s="10">
        <f>IF(AND(C9="Yes",OR(C6="Corporation",C6="Partnership")),"Review: 1701-MS is an individual/fiduciary form, not a corporate return.","Entity/form check: review eligibility against the form instructions.")</f>
        <v/>
      </c>
    </row>
    <row r="19">
      <c r="A19" s="10">
        <f>IF(AND(C7="Yes",C10="8%"),"Review: valid 8% generally replaces Section 116; transition or other percentage taxes can still matter.","Review: verify COR tax types, registration, tax elections, period and activity.")</f>
        <v/>
      </c>
    </row>
    <row r="20">
      <c r="A20" s="10">
        <f>IF(AND(C10="8%",OR(C6="Corporation",C6="Partnership")),"Review: the 8% option is not a corporate / ordinary partnership income-tax regime.",IF(AND(G7="Yes",C6="Individual"),"Review: 1702 forms generally apply to non-individual filers.","Profile choices do not establish legal eligibility or calculate an obligation."))</f>
        <v/>
      </c>
    </row>
    <row r="21">
      <c r="A21" s="10">
        <f>IF(AND(C9="Yes",G6="No"),"Review whether 1701Q and other COR-based obligations also apply.","Review the entire obligation set, including certificates and required schedules.")</f>
        <v/>
      </c>
    </row>
    <row r="22">
      <c r="A22" s="9" t="inlineStr">
        <is>
          <t>How to use</t>
        </is>
      </c>
    </row>
    <row r="23" ht="26" customHeight="1">
      <c r="A23" t="inlineStr">
        <is>
          <t>1. Select the legal filer and forms in columns C and G. The Category catalog highlights the matching category candidates.</t>
        </is>
      </c>
    </row>
    <row r="24" ht="26" customHeight="1">
      <c r="A24" t="inlineStr">
        <is>
          <t>2. Filter Category catalog by Suggested / Core, and inspect Category field rules for the exact data and conditions.</t>
        </is>
      </c>
    </row>
    <row r="25" ht="26" customHeight="1">
      <c r="A25" t="inlineStr">
        <is>
          <t>3. Read all three numbered field dictionaries. Each field states whether it comes from a profile, ledger, payroll, certificate, calculation or human review.</t>
        </is>
      </c>
    </row>
    <row r="26" ht="26" customHeight="1">
      <c r="A26" t="inlineStr">
        <is>
          <t>4. Worked example demonstrates separate quarterly, monthly and annual sources. Its fictional data is independent of the profile selector.</t>
        </is>
      </c>
    </row>
    <row r="27" ht="26" customHeight="1">
      <c r="A27" t="inlineStr">
        <is>
          <t>5. COR tax types are a starting point. Elections, activities, transactions, legal entity, dates and other BIR records can add or change obligations.</t>
        </is>
      </c>
    </row>
    <row r="28" ht="26" customHeight="1">
      <c r="A28" t="inlineStr">
        <is>
          <t>6. Exact field coverage is limited to 2551Q Jan 2018, 1601-C Jan 2018, and 1701-MS Aug 2024. Other forms are cataloged as pending.</t>
        </is>
      </c>
    </row>
    <row r="29" ht="26" customHeight="1">
      <c r="A29" t="inlineStr">
        <is>
          <t>7. A selected 1601-C means the filer is an employer. It does not mean the owner earns compensation or loses the pure-business 8% reduction.</t>
        </is>
      </c>
    </row>
    <row r="31">
      <c r="A31" s="26" t="inlineStr">
        <is>
          <t>Added review checks (correction 13; (c) and (e) only)</t>
        </is>
      </c>
    </row>
    <row r="32">
      <c r="A32" s="27">
        <f>IF(AND(C10="8%",C12="Yes"),"Review: mixed earners get no 250,000 reduction on the 8% base (RMO 23-2018; verify s2 #75).","No mixed-earner 8% reduction issue flagged by this check.")</f>
        <v/>
      </c>
    </row>
    <row r="33">
      <c r="A33" s="27">
        <f>IF(AND(C10="8%",C7="Yes"),"Open discrepancy: an 8% year with 2551Q selected. Books blocks 2551Q; buwiz-oss requires NIL PT010; RMO 23-2018 says not required (verify s2 #73, #84). Do not file either way until RR 8-2018 is read.","No 8% and 2551Q conflict flagged.")</f>
        <v/>
      </c>
    </row>
  </sheetData>
  <dataValidations count="8">
    <dataValidation sqref="C6" showDropDown="0" showInputMessage="0" showErrorMessage="0" allowBlank="0" type="list">
      <formula1>"Individual,Corporation,Partnership,Estate/Trust"</formula1>
    </dataValidation>
    <dataValidation sqref="C7" showDropDown="0" showInputMessage="0" showErrorMessage="0" allowBlank="0" type="list">
      <formula1>"Yes,No"</formula1>
    </dataValidation>
    <dataValidation sqref="C8" showDropDown="0" showInputMessage="0" showErrorMessage="0" allowBlank="0" type="list">
      <formula1>"Yes,No"</formula1>
    </dataValidation>
    <dataValidation sqref="C9" showDropDown="0" showInputMessage="0" showErrorMessage="0" allowBlank="0" type="list">
      <formula1>"Yes,No"</formula1>
    </dataValidation>
    <dataValidation sqref="C12" showDropDown="0" showInputMessage="0" showErrorMessage="0" allowBlank="0" type="list">
      <formula1>"Yes,No"</formula1>
    </dataValidation>
    <dataValidation sqref="C10" showDropDown="0" showInputMessage="0" showErrorMessage="0" allowBlank="0" type="list">
      <formula1>"Graduated,8%,Special/Exempt,Unknown"</formula1>
    </dataValidation>
    <dataValidation sqref="C11" showDropDown="0" showInputMessage="0" showErrorMessage="0" allowBlank="0" type="list">
      <formula1>"OSD,Itemized,Not applicable,Unknown"</formula1>
    </dataValidation>
    <dataValidation sqref="G6:G1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2" customWidth="1" min="1" max="1"/>
    <col width="31" customWidth="1" min="2" max="2"/>
    <col width="18" customWidth="1" min="3" max="3"/>
    <col width="15" customWidth="1" min="4" max="4"/>
    <col width="20" customWidth="1" min="5" max="5"/>
    <col width="19" customWidth="1" min="6" max="6"/>
    <col width="17" customWidth="1" min="7" max="7"/>
    <col width="42" customWidth="1" min="8" max="8"/>
    <col width="54" customWidth="1" min="9" max="9"/>
  </cols>
  <sheetData>
    <row r="1" ht="24" customHeight="1">
      <c r="A1" s="1" t="inlineStr">
        <is>
          <t>Category catalog</t>
        </is>
      </c>
    </row>
    <row r="2" ht="24" customHeight="1">
      <c r="A2" s="2" t="inlineStr">
        <is>
          <t>Filter the “Selection” column after changing Profile. Existing keys and numbers are copied from the pinned Buwiz preset.</t>
        </is>
      </c>
    </row>
    <row r="3" ht="24" customHeight="1">
      <c r="A3" s="3" t="inlineStr">
        <is>
          <t>Core accounting categories remain useful even when no tax form directly needs them. Proposed keys have no account number.</t>
        </is>
      </c>
    </row>
    <row r="5" ht="32" customHeight="1">
      <c r="A5" s="14" t="inlineStr">
        <is>
          <t>Category key</t>
        </is>
      </c>
      <c r="B5" s="14" t="inlineStr">
        <is>
          <t>Display name</t>
        </is>
      </c>
      <c r="C5" s="14" t="inlineStr">
        <is>
          <t>Account type</t>
        </is>
      </c>
      <c r="D5" s="14" t="inlineStr">
        <is>
          <t>Account no.</t>
        </is>
      </c>
      <c r="E5" s="14" t="inlineStr">
        <is>
          <t>Origin</t>
        </is>
      </c>
      <c r="F5" s="14" t="inlineStr">
        <is>
          <t>Activation rule</t>
        </is>
      </c>
      <c r="G5" s="14" t="inlineStr">
        <is>
          <t>Selection</t>
        </is>
      </c>
      <c r="H5" s="14" t="inlineStr">
        <is>
          <t>Purpose</t>
        </is>
      </c>
      <c r="I5" s="14" t="inlineStr">
        <is>
          <t>Checks / tax dimensions</t>
        </is>
      </c>
    </row>
    <row r="6" ht="46" customHeight="1">
      <c r="A6" s="12" t="inlineStr">
        <is>
          <t>bank_accounts</t>
        </is>
      </c>
      <c r="B6" s="12" t="inlineStr">
        <is>
          <t>Bank Accounts</t>
        </is>
      </c>
      <c r="C6" s="12" t="inlineStr">
        <is>
          <t>asset</t>
        </is>
      </c>
      <c r="D6" s="12" t="inlineStr">
        <is>
          <t>11000</t>
        </is>
      </c>
      <c r="E6" s="12" t="inlineStr">
        <is>
          <t>Existing base</t>
        </is>
      </c>
      <c r="F6" s="12" t="inlineStr">
        <is>
          <t>Always</t>
        </is>
      </c>
      <c r="G6" s="12">
        <f>IF(F6="Always","CORE",IF(OR(AND(F6="INDIVIDUAL",Profile!$C$6="Individual"),AND(F6="PT",Profile!$C$7="Yes"),AND(F6="PAYROLL",Profile!$C$8="Yes"),AND(F6="IT",OR(Profile!$C$9="Yes",Profile!$G$6="Yes",Profile!$G$7="Yes",Profile!$G$10="Yes")),AND(F6="IT_OR_PAYROLL",OR(Profile!$C$8="Yes",OR(Profile!$C$9="Yes",Profile!$G$6="Yes",Profile!$G$7="Yes",Profile!$G$10="Yes"))),AND(F6="VAT",Profile!$G$8="Yes"),AND(F6="EWT",Profile!$G$9="Yes")),"SUGGESTED","OPTIONAL"))</f>
        <v/>
      </c>
      <c r="H6" s="12" t="inlineStr">
        <is>
          <t>Cash and bank movements; reconcile</t>
        </is>
      </c>
      <c r="I6" s="12" t="inlineStr">
        <is>
          <t>No direct sales inference</t>
        </is>
      </c>
    </row>
    <row r="7" ht="46" customHeight="1">
      <c r="A7" s="15" t="inlineStr">
        <is>
          <t>accounts_receivable_gross</t>
        </is>
      </c>
      <c r="B7" s="15" t="inlineStr">
        <is>
          <t>Accounts Receivable - Gross</t>
        </is>
      </c>
      <c r="C7" s="15" t="inlineStr">
        <is>
          <t>asset</t>
        </is>
      </c>
      <c r="D7" s="15" t="inlineStr">
        <is>
          <t>12010</t>
        </is>
      </c>
      <c r="E7" s="15" t="inlineStr">
        <is>
          <t>Existing base</t>
        </is>
      </c>
      <c r="F7" s="15" t="inlineStr">
        <is>
          <t>Always</t>
        </is>
      </c>
      <c r="G7" s="15">
        <f>IF(F7="Always","CORE",IF(OR(AND(F7="INDIVIDUAL",Profile!$C$6="Individual"),AND(F7="PT",Profile!$C$7="Yes"),AND(F7="PAYROLL",Profile!$C$8="Yes"),AND(F7="IT",OR(Profile!$C$9="Yes",Profile!$G$6="Yes",Profile!$G$7="Yes",Profile!$G$10="Yes")),AND(F7="IT_OR_PAYROLL",OR(Profile!$C$8="Yes",OR(Profile!$C$9="Yes",Profile!$G$6="Yes",Profile!$G$7="Yes",Profile!$G$10="Yes"))),AND(F7="VAT",Profile!$G$8="Yes"),AND(F7="EWT",Profile!$G$9="Yes")),"SUGGESTED","OPTIONAL"))</f>
        <v/>
      </c>
      <c r="H7" s="15" t="inlineStr">
        <is>
          <t>Outstanding customer invoices</t>
        </is>
      </c>
      <c r="I7" s="15" t="inlineStr">
        <is>
          <t>Sales occur separately; do not use collections as revenue</t>
        </is>
      </c>
    </row>
    <row r="8" ht="46" customHeight="1">
      <c r="A8" s="12" t="inlineStr">
        <is>
          <t>inventory</t>
        </is>
      </c>
      <c r="B8" s="12" t="inlineStr">
        <is>
          <t>Inventory</t>
        </is>
      </c>
      <c r="C8" s="12" t="inlineStr">
        <is>
          <t>asset</t>
        </is>
      </c>
      <c r="D8" s="12" t="inlineStr">
        <is>
          <t>13500</t>
        </is>
      </c>
      <c r="E8" s="12" t="inlineStr">
        <is>
          <t>Existing base</t>
        </is>
      </c>
      <c r="F8" s="12" t="inlineStr">
        <is>
          <t>Always</t>
        </is>
      </c>
      <c r="G8" s="12">
        <f>IF(F8="Always","CORE",IF(OR(AND(F8="INDIVIDUAL",Profile!$C$6="Individual"),AND(F8="PT",Profile!$C$7="Yes"),AND(F8="PAYROLL",Profile!$C$8="Yes"),AND(F8="IT",OR(Profile!$C$9="Yes",Profile!$G$6="Yes",Profile!$G$7="Yes",Profile!$G$10="Yes")),AND(F8="IT_OR_PAYROLL",OR(Profile!$C$8="Yes",OR(Profile!$C$9="Yes",Profile!$G$6="Yes",Profile!$G$7="Yes",Profile!$G$10="Yes"))),AND(F8="VAT",Profile!$G$8="Yes"),AND(F8="EWT",Profile!$G$9="Yes")),"SUGGESTED","OPTIONAL"))</f>
        <v/>
      </c>
      <c r="H8" s="12" t="inlineStr">
        <is>
          <t>Stock held for sale</t>
        </is>
      </c>
      <c r="I8" s="12" t="inlineStr">
        <is>
          <t>Use cost of goods sold when goods leave inventory</t>
        </is>
      </c>
    </row>
    <row r="9" ht="46" customHeight="1">
      <c r="A9" s="15" t="inlineStr">
        <is>
          <t>prepaid_expenses</t>
        </is>
      </c>
      <c r="B9" s="15" t="inlineStr">
        <is>
          <t>Prepaid Expenses</t>
        </is>
      </c>
      <c r="C9" s="15" t="inlineStr">
        <is>
          <t>asset</t>
        </is>
      </c>
      <c r="D9" s="15" t="inlineStr">
        <is>
          <t>13000</t>
        </is>
      </c>
      <c r="E9" s="15" t="inlineStr">
        <is>
          <t>Existing base</t>
        </is>
      </c>
      <c r="F9" s="15" t="inlineStr">
        <is>
          <t>Always</t>
        </is>
      </c>
      <c r="G9" s="15">
        <f>IF(F9="Always","CORE",IF(OR(AND(F9="INDIVIDUAL",Profile!$C$6="Individual"),AND(F9="PT",Profile!$C$7="Yes"),AND(F9="PAYROLL",Profile!$C$8="Yes"),AND(F9="IT",OR(Profile!$C$9="Yes",Profile!$G$6="Yes",Profile!$G$7="Yes",Profile!$G$10="Yes")),AND(F9="IT_OR_PAYROLL",OR(Profile!$C$8="Yes",OR(Profile!$C$9="Yes",Profile!$G$6="Yes",Profile!$G$7="Yes",Profile!$G$10="Yes"))),AND(F9="VAT",Profile!$G$8="Yes"),AND(F9="EWT",Profile!$G$9="Yes")),"SUGGESTED","OPTIONAL"))</f>
        <v/>
      </c>
      <c r="H9" s="15" t="inlineStr">
        <is>
          <t>Payments for future benefit</t>
        </is>
      </c>
      <c r="I9" s="15" t="inlineStr">
        <is>
          <t>Recognize allowable expense at the proper time</t>
        </is>
      </c>
    </row>
    <row r="10" ht="46" customHeight="1">
      <c r="A10" s="12" t="inlineStr">
        <is>
          <t>computer_assets</t>
        </is>
      </c>
      <c r="B10" s="12" t="inlineStr">
        <is>
          <t>Computer Assets</t>
        </is>
      </c>
      <c r="C10" s="12" t="inlineStr">
        <is>
          <t>asset</t>
        </is>
      </c>
      <c r="D10" s="12" t="inlineStr">
        <is>
          <t>16100</t>
        </is>
      </c>
      <c r="E10" s="12" t="inlineStr">
        <is>
          <t>Existing base</t>
        </is>
      </c>
      <c r="F10" s="12" t="inlineStr">
        <is>
          <t>Always</t>
        </is>
      </c>
      <c r="G10" s="12">
        <f>IF(F10="Always","CORE",IF(OR(AND(F10="INDIVIDUAL",Profile!$C$6="Individual"),AND(F10="PT",Profile!$C$7="Yes"),AND(F10="PAYROLL",Profile!$C$8="Yes"),AND(F10="IT",OR(Profile!$C$9="Yes",Profile!$G$6="Yes",Profile!$G$7="Yes",Profile!$G$10="Yes")),AND(F10="IT_OR_PAYROLL",OR(Profile!$C$8="Yes",OR(Profile!$C$9="Yes",Profile!$G$6="Yes",Profile!$G$7="Yes",Profile!$G$10="Yes"))),AND(F10="VAT",Profile!$G$8="Yes"),AND(F10="EWT",Profile!$G$9="Yes")),"SUGGESTED","OPTIONAL"))</f>
        <v/>
      </c>
      <c r="H10" s="12" t="inlineStr">
        <is>
          <t>Capital equipment</t>
        </is>
      </c>
      <c r="I10" s="12" t="inlineStr">
        <is>
          <t>Depreciation / tax adjustments rather than automatic full deduction</t>
        </is>
      </c>
    </row>
    <row r="11" ht="46" customHeight="1">
      <c r="A11" s="15" t="inlineStr">
        <is>
          <t>accounts_payable</t>
        </is>
      </c>
      <c r="B11" s="15" t="inlineStr">
        <is>
          <t>Accounts Payable</t>
        </is>
      </c>
      <c r="C11" s="15" t="inlineStr">
        <is>
          <t>liability</t>
        </is>
      </c>
      <c r="D11" s="15" t="inlineStr">
        <is>
          <t>21000</t>
        </is>
      </c>
      <c r="E11" s="15" t="inlineStr">
        <is>
          <t>Existing base</t>
        </is>
      </c>
      <c r="F11" s="15" t="inlineStr">
        <is>
          <t>Always</t>
        </is>
      </c>
      <c r="G11" s="15">
        <f>IF(F11="Always","CORE",IF(OR(AND(F11="INDIVIDUAL",Profile!$C$6="Individual"),AND(F11="PT",Profile!$C$7="Yes"),AND(F11="PAYROLL",Profile!$C$8="Yes"),AND(F11="IT",OR(Profile!$C$9="Yes",Profile!$G$6="Yes",Profile!$G$7="Yes",Profile!$G$10="Yes")),AND(F11="IT_OR_PAYROLL",OR(Profile!$C$8="Yes",OR(Profile!$C$9="Yes",Profile!$G$6="Yes",Profile!$G$7="Yes",Profile!$G$10="Yes"))),AND(F11="VAT",Profile!$G$8="Yes"),AND(F11="EWT",Profile!$G$9="Yes")),"SUGGESTED","OPTIONAL"))</f>
        <v/>
      </c>
      <c r="H11" s="15" t="inlineStr">
        <is>
          <t>Supplier liability</t>
        </is>
      </c>
      <c r="I11" s="15" t="inlineStr">
        <is>
          <t>Track bill, withholding and payment separately</t>
        </is>
      </c>
    </row>
    <row r="12" ht="46" customHeight="1">
      <c r="A12" s="12" t="inlineStr">
        <is>
          <t>owners_equity</t>
        </is>
      </c>
      <c r="B12" s="12" t="inlineStr">
        <is>
          <t>Owners Equity</t>
        </is>
      </c>
      <c r="C12" s="12" t="inlineStr">
        <is>
          <t>equity</t>
        </is>
      </c>
      <c r="D12" s="12" t="inlineStr">
        <is>
          <t>32000</t>
        </is>
      </c>
      <c r="E12" s="12" t="inlineStr">
        <is>
          <t>Existing base</t>
        </is>
      </c>
      <c r="F12" s="12" t="inlineStr">
        <is>
          <t>Always</t>
        </is>
      </c>
      <c r="G12" s="12">
        <f>IF(F12="Always","CORE",IF(OR(AND(F12="INDIVIDUAL",Profile!$C$6="Individual"),AND(F12="PT",Profile!$C$7="Yes"),AND(F12="PAYROLL",Profile!$C$8="Yes"),AND(F12="IT",OR(Profile!$C$9="Yes",Profile!$G$6="Yes",Profile!$G$7="Yes",Profile!$G$10="Yes")),AND(F12="IT_OR_PAYROLL",OR(Profile!$C$8="Yes",OR(Profile!$C$9="Yes",Profile!$G$6="Yes",Profile!$G$7="Yes",Profile!$G$10="Yes"))),AND(F12="VAT",Profile!$G$8="Yes"),AND(F12="EWT",Profile!$G$9="Yes")),"SUGGESTED","OPTIONAL"))</f>
        <v/>
      </c>
      <c r="H12" s="12" t="inlineStr">
        <is>
          <t>Owner capital</t>
        </is>
      </c>
      <c r="I12" s="12" t="inlineStr">
        <is>
          <t>Capital is not sales</t>
        </is>
      </c>
    </row>
    <row r="13" ht="46" customHeight="1">
      <c r="A13" s="15" t="inlineStr">
        <is>
          <t>owner_drawings</t>
        </is>
      </c>
      <c r="B13" s="15" t="inlineStr">
        <is>
          <t>Owner Drawings</t>
        </is>
      </c>
      <c r="C13" s="15" t="inlineStr">
        <is>
          <t>equity</t>
        </is>
      </c>
      <c r="D13" s="15" t="str"/>
      <c r="E13" s="15" t="inlineStr">
        <is>
          <t>Proposed</t>
        </is>
      </c>
      <c r="F13" s="15" t="inlineStr">
        <is>
          <t>INDIVIDUAL</t>
        </is>
      </c>
      <c r="G13" s="15">
        <f>IF(F13="Always","CORE",IF(OR(AND(F13="INDIVIDUAL",Profile!$C$6="Individual"),AND(F13="PT",Profile!$C$7="Yes"),AND(F13="PAYROLL",Profile!$C$8="Yes"),AND(F13="IT",OR(Profile!$C$9="Yes",Profile!$G$6="Yes",Profile!$G$7="Yes",Profile!$G$10="Yes")),AND(F13="IT_OR_PAYROLL",OR(Profile!$C$8="Yes",OR(Profile!$C$9="Yes",Profile!$G$6="Yes",Profile!$G$7="Yes",Profile!$G$10="Yes"))),AND(F13="VAT",Profile!$G$8="Yes"),AND(F13="EWT",Profile!$G$9="Yes")),"SUGGESTED","OPTIONAL"))</f>
        <v/>
      </c>
      <c r="H13" s="15" t="inlineStr">
        <is>
          <t>Owner withdrawals in a sole proprietorship</t>
        </is>
      </c>
      <c r="I13" s="15" t="inlineStr">
        <is>
          <t>Not a corporate salary or dividend; no frozen number assigned</t>
        </is>
      </c>
    </row>
    <row r="14" ht="46" customHeight="1">
      <c r="A14" s="12" t="inlineStr">
        <is>
          <t>loan_payable</t>
        </is>
      </c>
      <c r="B14" s="12" t="inlineStr">
        <is>
          <t>Loans Payable</t>
        </is>
      </c>
      <c r="C14" s="12" t="inlineStr">
        <is>
          <t>liability</t>
        </is>
      </c>
      <c r="D14" s="12" t="str"/>
      <c r="E14" s="12" t="inlineStr">
        <is>
          <t>Proposed</t>
        </is>
      </c>
      <c r="F14" s="12" t="inlineStr">
        <is>
          <t>Always</t>
        </is>
      </c>
      <c r="G14" s="12">
        <f>IF(F14="Always","CORE",IF(OR(AND(F14="INDIVIDUAL",Profile!$C$6="Individual"),AND(F14="PT",Profile!$C$7="Yes"),AND(F14="PAYROLL",Profile!$C$8="Yes"),AND(F14="IT",OR(Profile!$C$9="Yes",Profile!$G$6="Yes",Profile!$G$7="Yes",Profile!$G$10="Yes")),AND(F14="IT_OR_PAYROLL",OR(Profile!$C$8="Yes",OR(Profile!$C$9="Yes",Profile!$G$6="Yes",Profile!$G$7="Yes",Profile!$G$10="Yes"))),AND(F14="VAT",Profile!$G$8="Yes"),AND(F14="EWT",Profile!$G$9="Yes")),"SUGGESTED","OPTIONAL"))</f>
        <v/>
      </c>
      <c r="H14" s="12" t="inlineStr">
        <is>
          <t>Financing principal</t>
        </is>
      </c>
      <c r="I14" s="12" t="inlineStr">
        <is>
          <t>Loan proceeds are not business sales</t>
        </is>
      </c>
    </row>
    <row r="15" ht="46" customHeight="1">
      <c r="A15" s="15" t="inlineStr">
        <is>
          <t>sales_revenue</t>
        </is>
      </c>
      <c r="B15" s="15" t="inlineStr">
        <is>
          <t>Sales Revenue</t>
        </is>
      </c>
      <c r="C15" s="15" t="inlineStr">
        <is>
          <t>revenue</t>
        </is>
      </c>
      <c r="D15" s="15" t="inlineStr">
        <is>
          <t>41000</t>
        </is>
      </c>
      <c r="E15" s="15" t="inlineStr">
        <is>
          <t>Existing base</t>
        </is>
      </c>
      <c r="F15" s="15" t="inlineStr">
        <is>
          <t>Always</t>
        </is>
      </c>
      <c r="G15" s="15">
        <f>IF(F15="Always","CORE",IF(OR(AND(F15="INDIVIDUAL",Profile!$C$6="Individual"),AND(F15="PT",Profile!$C$7="Yes"),AND(F15="PAYROLL",Profile!$C$8="Yes"),AND(F15="IT",OR(Profile!$C$9="Yes",Profile!$G$6="Yes",Profile!$G$7="Yes",Profile!$G$10="Yes")),AND(F15="IT_OR_PAYROLL",OR(Profile!$C$8="Yes",OR(Profile!$C$9="Yes",Profile!$G$6="Yes",Profile!$G$7="Yes",Profile!$G$10="Yes"))),AND(F15="VAT",Profile!$G$8="Yes"),AND(F15="EWT",Profile!$G$9="Yes")),"SUGGESTED","OPTIONAL"))</f>
        <v/>
      </c>
      <c r="H15" s="15" t="inlineStr">
        <is>
          <t>Goods / service sales</t>
        </is>
      </c>
      <c r="I15" s="15" t="inlineStr">
        <is>
          <t>Tax attributes determine form treatment</t>
        </is>
      </c>
    </row>
    <row r="16" ht="46" customHeight="1">
      <c r="A16" s="12" t="inlineStr">
        <is>
          <t>subscription_revenue</t>
        </is>
      </c>
      <c r="B16" s="12" t="inlineStr">
        <is>
          <t>Subscription Revenue</t>
        </is>
      </c>
      <c r="C16" s="12" t="inlineStr">
        <is>
          <t>revenue</t>
        </is>
      </c>
      <c r="D16" s="12" t="inlineStr">
        <is>
          <t>42000</t>
        </is>
      </c>
      <c r="E16" s="12" t="inlineStr">
        <is>
          <t>Existing base</t>
        </is>
      </c>
      <c r="F16" s="12" t="inlineStr">
        <is>
          <t>Always</t>
        </is>
      </c>
      <c r="G16" s="12">
        <f>IF(F16="Always","CORE",IF(OR(AND(F16="INDIVIDUAL",Profile!$C$6="Individual"),AND(F16="PT",Profile!$C$7="Yes"),AND(F16="PAYROLL",Profile!$C$8="Yes"),AND(F16="IT",OR(Profile!$C$9="Yes",Profile!$G$6="Yes",Profile!$G$7="Yes",Profile!$G$10="Yes")),AND(F16="IT_OR_PAYROLL",OR(Profile!$C$8="Yes",OR(Profile!$C$9="Yes",Profile!$G$6="Yes",Profile!$G$7="Yes",Profile!$G$10="Yes"))),AND(F16="VAT",Profile!$G$8="Yes"),AND(F16="EWT",Profile!$G$9="Yes")),"SUGGESTED","OPTIONAL"))</f>
        <v/>
      </c>
      <c r="H16" s="12" t="inlineStr">
        <is>
          <t>Subscription sales</t>
        </is>
      </c>
      <c r="I16" s="12" t="inlineStr">
        <is>
          <t>Tax attributes determine form treatment</t>
        </is>
      </c>
    </row>
    <row r="17" ht="46" customHeight="1">
      <c r="A17" s="15" t="inlineStr">
        <is>
          <t>transaction_revenue</t>
        </is>
      </c>
      <c r="B17" s="15" t="inlineStr">
        <is>
          <t>Transaction Revenue</t>
        </is>
      </c>
      <c r="C17" s="15" t="inlineStr">
        <is>
          <t>revenue</t>
        </is>
      </c>
      <c r="D17" s="15" t="inlineStr">
        <is>
          <t>43000</t>
        </is>
      </c>
      <c r="E17" s="15" t="inlineStr">
        <is>
          <t>Existing base</t>
        </is>
      </c>
      <c r="F17" s="15" t="inlineStr">
        <is>
          <t>Always</t>
        </is>
      </c>
      <c r="G17" s="15">
        <f>IF(F17="Always","CORE",IF(OR(AND(F17="INDIVIDUAL",Profile!$C$6="Individual"),AND(F17="PT",Profile!$C$7="Yes"),AND(F17="PAYROLL",Profile!$C$8="Yes"),AND(F17="IT",OR(Profile!$C$9="Yes",Profile!$G$6="Yes",Profile!$G$7="Yes",Profile!$G$10="Yes")),AND(F17="IT_OR_PAYROLL",OR(Profile!$C$8="Yes",OR(Profile!$C$9="Yes",Profile!$G$6="Yes",Profile!$G$7="Yes",Profile!$G$10="Yes"))),AND(F17="VAT",Profile!$G$8="Yes"),AND(F17="EWT",Profile!$G$9="Yes")),"SUGGESTED","OPTIONAL"))</f>
        <v/>
      </c>
      <c r="H17" s="15" t="inlineStr">
        <is>
          <t>Transaction fees and other sales</t>
        </is>
      </c>
      <c r="I17" s="15" t="inlineStr">
        <is>
          <t>Tax attributes determine form treatment</t>
        </is>
      </c>
    </row>
    <row r="18" ht="46" customHeight="1">
      <c r="A18" s="12" t="inlineStr">
        <is>
          <t>refunds_and_discounts</t>
        </is>
      </c>
      <c r="B18" s="12" t="inlineStr">
        <is>
          <t>Refunds &amp; Discounts</t>
        </is>
      </c>
      <c r="C18" s="12" t="inlineStr">
        <is>
          <t>revenue</t>
        </is>
      </c>
      <c r="D18" s="12" t="inlineStr">
        <is>
          <t>49000</t>
        </is>
      </c>
      <c r="E18" s="12" t="inlineStr">
        <is>
          <t>Existing base</t>
        </is>
      </c>
      <c r="F18" s="12" t="inlineStr">
        <is>
          <t>Always</t>
        </is>
      </c>
      <c r="G18" s="12">
        <f>IF(F18="Always","CORE",IF(OR(AND(F18="INDIVIDUAL",Profile!$C$6="Individual"),AND(F18="PT",Profile!$C$7="Yes"),AND(F18="PAYROLL",Profile!$C$8="Yes"),AND(F18="IT",OR(Profile!$C$9="Yes",Profile!$G$6="Yes",Profile!$G$7="Yes",Profile!$G$10="Yes")),AND(F18="IT_OR_PAYROLL",OR(Profile!$C$8="Yes",OR(Profile!$C$9="Yes",Profile!$G$6="Yes",Profile!$G$7="Yes",Profile!$G$10="Yes"))),AND(F18="VAT",Profile!$G$8="Yes"),AND(F18="EWT",Profile!$G$9="Yes")),"SUGGESTED","OPTIONAL"))</f>
        <v/>
      </c>
      <c r="H18" s="12" t="inlineStr">
        <is>
          <t>Sales returns, allowances and discounts</t>
        </is>
      </c>
      <c r="I18" s="12" t="inlineStr">
        <is>
          <t>Link to original sale and apply valid tax treatment [Books: revenue + subtype refunds_discounts (correction 19)]</t>
        </is>
      </c>
    </row>
    <row r="19" ht="46" customHeight="1">
      <c r="A19" s="15" t="inlineStr">
        <is>
          <t>other_non_operating_income</t>
        </is>
      </c>
      <c r="B19" s="15" t="inlineStr">
        <is>
          <t>Other Non-Operating Income</t>
        </is>
      </c>
      <c r="C19" s="15" t="inlineStr">
        <is>
          <t>other_income</t>
        </is>
      </c>
      <c r="D19" s="15" t="str"/>
      <c r="E19" s="15" t="inlineStr">
        <is>
          <t>Proposed</t>
        </is>
      </c>
      <c r="F19" s="15" t="inlineStr">
        <is>
          <t>IT</t>
        </is>
      </c>
      <c r="G19" s="15">
        <f>IF(F19="Always","CORE",IF(OR(AND(F19="INDIVIDUAL",Profile!$C$6="Individual"),AND(F19="PT",Profile!$C$7="Yes"),AND(F19="PAYROLL",Profile!$C$8="Yes"),AND(F19="IT",OR(Profile!$C$9="Yes",Profile!$G$6="Yes",Profile!$G$7="Yes",Profile!$G$10="Yes")),AND(F19="IT_OR_PAYROLL",OR(Profile!$C$8="Yes",OR(Profile!$C$9="Yes",Profile!$G$6="Yes",Profile!$G$7="Yes",Profile!$G$10="Yes"))),AND(F19="VAT",Profile!$G$8="Yes"),AND(F19="EWT",Profile!$G$9="Yes")),"SUGGESTED","OPTIONAL"))</f>
        <v/>
      </c>
      <c r="H19" s="15" t="inlineStr">
        <is>
          <t>Separate eligible non-operating income from sales</t>
        </is>
      </c>
      <c r="I19" s="15" t="inlineStr">
        <is>
          <t>Exclude income already subject to final tax when applicable</t>
        </is>
      </c>
    </row>
    <row r="20" ht="46" customHeight="1">
      <c r="A20" s="12" t="inlineStr">
        <is>
          <t>interest_income</t>
        </is>
      </c>
      <c r="B20" s="12" t="inlineStr">
        <is>
          <t>Interest Income</t>
        </is>
      </c>
      <c r="C20" s="12" t="inlineStr">
        <is>
          <t>other_income</t>
        </is>
      </c>
      <c r="D20" s="12" t="inlineStr">
        <is>
          <t>81000</t>
        </is>
      </c>
      <c r="E20" s="12" t="inlineStr">
        <is>
          <t>Existing base</t>
        </is>
      </c>
      <c r="F20" s="12" t="inlineStr">
        <is>
          <t>IT</t>
        </is>
      </c>
      <c r="G20" s="12">
        <f>IF(F20="Always","CORE",IF(OR(AND(F20="INDIVIDUAL",Profile!$C$6="Individual"),AND(F20="PT",Profile!$C$7="Yes"),AND(F20="PAYROLL",Profile!$C$8="Yes"),AND(F20="IT",OR(Profile!$C$9="Yes",Profile!$G$6="Yes",Profile!$G$7="Yes",Profile!$G$10="Yes")),AND(F20="IT_OR_PAYROLL",OR(Profile!$C$8="Yes",OR(Profile!$C$9="Yes",Profile!$G$6="Yes",Profile!$G$7="Yes",Profile!$G$10="Yes"))),AND(F20="VAT",Profile!$G$8="Yes"),AND(F20="EWT",Profile!$G$9="Yes")),"SUGGESTED","OPTIONAL"))</f>
        <v/>
      </c>
      <c r="H20" s="12" t="inlineStr">
        <is>
          <t>Interest income</t>
        </is>
      </c>
      <c r="I20" s="12" t="inlineStr">
        <is>
          <t>Tax attribute must distinguish final-taxed vs income included in return</t>
        </is>
      </c>
    </row>
    <row r="21" ht="46" customHeight="1">
      <c r="A21" s="15" t="inlineStr">
        <is>
          <t>cost_of_goods_sold</t>
        </is>
      </c>
      <c r="B21" s="15" t="inlineStr">
        <is>
          <t>Cost of Goods Sold</t>
        </is>
      </c>
      <c r="C21" s="15" t="inlineStr">
        <is>
          <t>cost_of_revenue</t>
        </is>
      </c>
      <c r="D21" s="15" t="inlineStr">
        <is>
          <t>51000</t>
        </is>
      </c>
      <c r="E21" s="15" t="inlineStr">
        <is>
          <t>Existing base</t>
        </is>
      </c>
      <c r="F21" s="15" t="inlineStr">
        <is>
          <t>Always</t>
        </is>
      </c>
      <c r="G21" s="15">
        <f>IF(F21="Always","CORE",IF(OR(AND(F21="INDIVIDUAL",Profile!$C$6="Individual"),AND(F21="PT",Profile!$C$7="Yes"),AND(F21="PAYROLL",Profile!$C$8="Yes"),AND(F21="IT",OR(Profile!$C$9="Yes",Profile!$G$6="Yes",Profile!$G$7="Yes",Profile!$G$10="Yes")),AND(F21="IT_OR_PAYROLL",OR(Profile!$C$8="Yes",OR(Profile!$C$9="Yes",Profile!$G$6="Yes",Profile!$G$7="Yes",Profile!$G$10="Yes"))),AND(F21="VAT",Profile!$G$8="Yes"),AND(F21="EWT",Profile!$G$9="Yes")),"SUGGESTED","OPTIONAL"))</f>
        <v/>
      </c>
      <c r="H21" s="15" t="inlineStr">
        <is>
          <t>Cost of inventory sold</t>
        </is>
      </c>
      <c r="I21" s="15" t="inlineStr">
        <is>
          <t>1701-MS IV.8 only when itemized and eligible</t>
        </is>
      </c>
    </row>
    <row r="22" ht="46" customHeight="1">
      <c r="A22" s="12" t="inlineStr">
        <is>
          <t>direct_service_cost</t>
        </is>
      </c>
      <c r="B22" s="12" t="inlineStr">
        <is>
          <t>Direct Cost of Services</t>
        </is>
      </c>
      <c r="C22" s="12" t="inlineStr">
        <is>
          <t>cost_of_revenue</t>
        </is>
      </c>
      <c r="D22" s="12" t="str"/>
      <c r="E22" s="12" t="inlineStr">
        <is>
          <t>Proposed</t>
        </is>
      </c>
      <c r="F22" s="12" t="inlineStr">
        <is>
          <t>IT</t>
        </is>
      </c>
      <c r="G22" s="12">
        <f>IF(F22="Always","CORE",IF(OR(AND(F22="INDIVIDUAL",Profile!$C$6="Individual"),AND(F22="PT",Profile!$C$7="Yes"),AND(F22="PAYROLL",Profile!$C$8="Yes"),AND(F22="IT",OR(Profile!$C$9="Yes",Profile!$G$6="Yes",Profile!$G$7="Yes",Profile!$G$10="Yes")),AND(F22="IT_OR_PAYROLL",OR(Profile!$C$8="Yes",OR(Profile!$C$9="Yes",Profile!$G$6="Yes",Profile!$G$7="Yes",Profile!$G$10="Yes"))),AND(F22="VAT",Profile!$G$8="Yes"),AND(F22="EWT",Profile!$G$9="Yes")),"SUGGESTED","OPTIONAL"))</f>
        <v/>
      </c>
      <c r="H22" s="12" t="inlineStr">
        <is>
          <t>Direct cost of services</t>
        </is>
      </c>
      <c r="I22" s="12" t="inlineStr">
        <is>
          <t>Potential IV.8 itemized cost; no frozen number assigned</t>
        </is>
      </c>
    </row>
    <row r="23" ht="46" customHeight="1">
      <c r="A23" s="15" t="inlineStr">
        <is>
          <t>salaries</t>
        </is>
      </c>
      <c r="B23" s="15" t="inlineStr">
        <is>
          <t>Salaries</t>
        </is>
      </c>
      <c r="C23" s="15" t="inlineStr">
        <is>
          <t>expense</t>
        </is>
      </c>
      <c r="D23" s="15" t="inlineStr">
        <is>
          <t>61100</t>
        </is>
      </c>
      <c r="E23" s="15" t="inlineStr">
        <is>
          <t>Existing base</t>
        </is>
      </c>
      <c r="F23" s="15" t="inlineStr">
        <is>
          <t>IT_OR_PAYROLL</t>
        </is>
      </c>
      <c r="G23" s="15">
        <f>IF(F23="Always","CORE",IF(OR(AND(F23="INDIVIDUAL",Profile!$C$6="Individual"),AND(F23="PT",Profile!$C$7="Yes"),AND(F23="PAYROLL",Profile!$C$8="Yes"),AND(F23="IT",OR(Profile!$C$9="Yes",Profile!$G$6="Yes",Profile!$G$7="Yes",Profile!$G$10="Yes")),AND(F23="IT_OR_PAYROLL",OR(Profile!$C$8="Yes",OR(Profile!$C$9="Yes",Profile!$G$6="Yes",Profile!$G$7="Yes",Profile!$G$10="Yes"))),AND(F23="VAT",Profile!$G$8="Yes"),AND(F23="EWT",Profile!$G$9="Yes")),"SUGGESTED","OPTIONAL"))</f>
        <v/>
      </c>
      <c r="H23" s="15" t="inlineStr">
        <is>
          <t>Employee gross compensation expense</t>
        </is>
      </c>
      <c r="I23" s="15" t="inlineStr">
        <is>
          <t>1601-C reads employee detail; reconcile ledger</t>
        </is>
      </c>
    </row>
    <row r="24" ht="46" customHeight="1">
      <c r="A24" s="12" t="inlineStr">
        <is>
          <t>employee_benefits</t>
        </is>
      </c>
      <c r="B24" s="12" t="inlineStr">
        <is>
          <t>Employee Benefits</t>
        </is>
      </c>
      <c r="C24" s="12" t="inlineStr">
        <is>
          <t>expense</t>
        </is>
      </c>
      <c r="D24" s="12" t="inlineStr">
        <is>
          <t>61400</t>
        </is>
      </c>
      <c r="E24" s="12" t="inlineStr">
        <is>
          <t>Existing base</t>
        </is>
      </c>
      <c r="F24" s="12" t="inlineStr">
        <is>
          <t>IT_OR_PAYROLL</t>
        </is>
      </c>
      <c r="G24" s="12">
        <f>IF(F24="Always","CORE",IF(OR(AND(F24="INDIVIDUAL",Profile!$C$6="Individual"),AND(F24="PT",Profile!$C$7="Yes"),AND(F24="PAYROLL",Profile!$C$8="Yes"),AND(F24="IT",OR(Profile!$C$9="Yes",Profile!$G$6="Yes",Profile!$G$7="Yes",Profile!$G$10="Yes")),AND(F24="IT_OR_PAYROLL",OR(Profile!$C$8="Yes",OR(Profile!$C$9="Yes",Profile!$G$6="Yes",Profile!$G$7="Yes",Profile!$G$10="Yes"))),AND(F24="VAT",Profile!$G$8="Yes"),AND(F24="EWT",Profile!$G$9="Yes")),"SUGGESTED","OPTIONAL"))</f>
        <v/>
      </c>
      <c r="H24" s="12" t="inlineStr">
        <is>
          <t>Employer-paid employee benefits</t>
        </is>
      </c>
      <c r="I24" s="12" t="inlineStr">
        <is>
          <t>A benefit may be taxable, exempt or partially exempt</t>
        </is>
      </c>
    </row>
    <row r="25" ht="46" customHeight="1">
      <c r="A25" s="15" t="inlineStr">
        <is>
          <t>retirement_contributions</t>
        </is>
      </c>
      <c r="B25" s="15" t="inlineStr">
        <is>
          <t>Retirement Contributions</t>
        </is>
      </c>
      <c r="C25" s="15" t="inlineStr">
        <is>
          <t>expense</t>
        </is>
      </c>
      <c r="D25" s="15" t="inlineStr">
        <is>
          <t>61500</t>
        </is>
      </c>
      <c r="E25" s="15" t="inlineStr">
        <is>
          <t>Existing base</t>
        </is>
      </c>
      <c r="F25" s="15" t="inlineStr">
        <is>
          <t>IT_OR_PAYROLL</t>
        </is>
      </c>
      <c r="G25" s="15">
        <f>IF(F25="Always","CORE",IF(OR(AND(F25="INDIVIDUAL",Profile!$C$6="Individual"),AND(F25="PT",Profile!$C$7="Yes"),AND(F25="PAYROLL",Profile!$C$8="Yes"),AND(F25="IT",OR(Profile!$C$9="Yes",Profile!$G$6="Yes",Profile!$G$7="Yes",Profile!$G$10="Yes")),AND(F25="IT_OR_PAYROLL",OR(Profile!$C$8="Yes",OR(Profile!$C$9="Yes",Profile!$G$6="Yes",Profile!$G$7="Yes",Profile!$G$10="Yes"))),AND(F25="VAT",Profile!$G$8="Yes"),AND(F25="EWT",Profile!$G$9="Yes")),"SUGGESTED","OPTIONAL"))</f>
        <v/>
      </c>
      <c r="H25" s="15" t="inlineStr">
        <is>
          <t>Employer contributions</t>
        </is>
      </c>
      <c r="I25" s="15" t="inlineStr">
        <is>
          <t>Do not treat employee-share deductions as employer expense</t>
        </is>
      </c>
    </row>
    <row r="26" ht="46" customHeight="1">
      <c r="A26" s="12" t="inlineStr">
        <is>
          <t>employer_payroll_taxes</t>
        </is>
      </c>
      <c r="B26" s="12" t="inlineStr">
        <is>
          <t>Employer Payroll Taxes</t>
        </is>
      </c>
      <c r="C26" s="12" t="inlineStr">
        <is>
          <t>expense</t>
        </is>
      </c>
      <c r="D26" s="12" t="inlineStr">
        <is>
          <t>61600</t>
        </is>
      </c>
      <c r="E26" s="12" t="inlineStr">
        <is>
          <t>Existing base</t>
        </is>
      </c>
      <c r="F26" s="12" t="inlineStr">
        <is>
          <t>IT_OR_PAYROLL</t>
        </is>
      </c>
      <c r="G26" s="12">
        <f>IF(F26="Always","CORE",IF(OR(AND(F26="INDIVIDUAL",Profile!$C$6="Individual"),AND(F26="PT",Profile!$C$7="Yes"),AND(F26="PAYROLL",Profile!$C$8="Yes"),AND(F26="IT",OR(Profile!$C$9="Yes",Profile!$G$6="Yes",Profile!$G$7="Yes",Profile!$G$10="Yes")),AND(F26="IT_OR_PAYROLL",OR(Profile!$C$8="Yes",OR(Profile!$C$9="Yes",Profile!$G$6="Yes",Profile!$G$7="Yes",Profile!$G$10="Yes"))),AND(F26="VAT",Profile!$G$8="Yes"),AND(F26="EWT",Profile!$G$9="Yes")),"SUGGESTED","OPTIONAL"))</f>
        <v/>
      </c>
      <c r="H26" s="12" t="inlineStr">
        <is>
          <t>Employer portion when categorized here</t>
        </is>
      </c>
      <c r="I26" s="12" t="inlineStr">
        <is>
          <t>Use distinct employee and employer shares</t>
        </is>
      </c>
    </row>
    <row r="27" ht="46" customHeight="1">
      <c r="A27" s="15" t="inlineStr">
        <is>
          <t>payroll_processing_fees</t>
        </is>
      </c>
      <c r="B27" s="15" t="inlineStr">
        <is>
          <t>Payroll Processing Fees</t>
        </is>
      </c>
      <c r="C27" s="15" t="inlineStr">
        <is>
          <t>expense</t>
        </is>
      </c>
      <c r="D27" s="15" t="inlineStr">
        <is>
          <t>61700</t>
        </is>
      </c>
      <c r="E27" s="15" t="inlineStr">
        <is>
          <t>Existing base</t>
        </is>
      </c>
      <c r="F27" s="15" t="inlineStr">
        <is>
          <t>IT_OR_PAYROLL</t>
        </is>
      </c>
      <c r="G27" s="15">
        <f>IF(F27="Always","CORE",IF(OR(AND(F27="INDIVIDUAL",Profile!$C$6="Individual"),AND(F27="PT",Profile!$C$7="Yes"),AND(F27="PAYROLL",Profile!$C$8="Yes"),AND(F27="IT",OR(Profile!$C$9="Yes",Profile!$G$6="Yes",Profile!$G$7="Yes",Profile!$G$10="Yes")),AND(F27="IT_OR_PAYROLL",OR(Profile!$C$8="Yes",OR(Profile!$C$9="Yes",Profile!$G$6="Yes",Profile!$G$7="Yes",Profile!$G$10="Yes"))),AND(F27="VAT",Profile!$G$8="Yes"),AND(F27="EWT",Profile!$G$9="Yes")),"SUGGESTED","OPTIONAL"))</f>
        <v/>
      </c>
      <c r="H27" s="15" t="inlineStr">
        <is>
          <t>Payroll-service fees</t>
        </is>
      </c>
      <c r="I27" s="15" t="inlineStr">
        <is>
          <t>Potential itemized deduction with support</t>
        </is>
      </c>
    </row>
    <row r="28" ht="46" customHeight="1">
      <c r="A28" s="12" t="inlineStr">
        <is>
          <t>payment_processing_fees</t>
        </is>
      </c>
      <c r="B28" s="12" t="inlineStr">
        <is>
          <t>Payment Processing Fees</t>
        </is>
      </c>
      <c r="C28" s="12" t="inlineStr">
        <is>
          <t>cost_of_revenue</t>
        </is>
      </c>
      <c r="D28" s="12" t="inlineStr">
        <is>
          <t>53000</t>
        </is>
      </c>
      <c r="E28" s="12" t="inlineStr">
        <is>
          <t>Existing base</t>
        </is>
      </c>
      <c r="F28" s="12" t="inlineStr">
        <is>
          <t>IT</t>
        </is>
      </c>
      <c r="G28" s="12">
        <f>IF(F28="Always","CORE",IF(OR(AND(F28="INDIVIDUAL",Profile!$C$6="Individual"),AND(F28="PT",Profile!$C$7="Yes"),AND(F28="PAYROLL",Profile!$C$8="Yes"),AND(F28="IT",OR(Profile!$C$9="Yes",Profile!$G$6="Yes",Profile!$G$7="Yes",Profile!$G$10="Yes")),AND(F28="IT_OR_PAYROLL",OR(Profile!$C$8="Yes",OR(Profile!$C$9="Yes",Profile!$G$6="Yes",Profile!$G$7="Yes",Profile!$G$10="Yes"))),AND(F28="VAT",Profile!$G$8="Yes"),AND(F28="EWT",Profile!$G$9="Yes")),"SUGGESTED","OPTIONAL"))</f>
        <v/>
      </c>
      <c r="H28" s="12" t="inlineStr">
        <is>
          <t>Payment processor fees</t>
        </is>
      </c>
      <c r="I28" s="12" t="inlineStr">
        <is>
          <t>Income-tax placement requires accounting/tax review</t>
        </is>
      </c>
    </row>
    <row r="29" ht="46" customHeight="1">
      <c r="A29" s="15" t="inlineStr">
        <is>
          <t>hosting_fees</t>
        </is>
      </c>
      <c r="B29" s="15" t="inlineStr">
        <is>
          <t>Hosting Fees</t>
        </is>
      </c>
      <c r="C29" s="15" t="inlineStr">
        <is>
          <t>cost_of_revenue</t>
        </is>
      </c>
      <c r="D29" s="15" t="inlineStr">
        <is>
          <t>54000</t>
        </is>
      </c>
      <c r="E29" s="15" t="inlineStr">
        <is>
          <t>Existing base</t>
        </is>
      </c>
      <c r="F29" s="15" t="inlineStr">
        <is>
          <t>IT</t>
        </is>
      </c>
      <c r="G29" s="15">
        <f>IF(F29="Always","CORE",IF(OR(AND(F29="INDIVIDUAL",Profile!$C$6="Individual"),AND(F29="PT",Profile!$C$7="Yes"),AND(F29="PAYROLL",Profile!$C$8="Yes"),AND(F29="IT",OR(Profile!$C$9="Yes",Profile!$G$6="Yes",Profile!$G$7="Yes",Profile!$G$10="Yes")),AND(F29="IT_OR_PAYROLL",OR(Profile!$C$8="Yes",OR(Profile!$C$9="Yes",Profile!$G$6="Yes",Profile!$G$7="Yes",Profile!$G$10="Yes"))),AND(F29="VAT",Profile!$G$8="Yes"),AND(F29="EWT",Profile!$G$9="Yes")),"SUGGESTED","OPTIONAL"))</f>
        <v/>
      </c>
      <c r="H29" s="15" t="inlineStr">
        <is>
          <t>Hosting directly categorized as cost</t>
        </is>
      </c>
      <c r="I29" s="15" t="inlineStr">
        <is>
          <t>Income-tax placement requires review</t>
        </is>
      </c>
    </row>
    <row r="30" ht="46" customHeight="1">
      <c r="A30" s="12" t="inlineStr">
        <is>
          <t>consultants_and_contractors</t>
        </is>
      </c>
      <c r="B30" s="12" t="inlineStr">
        <is>
          <t>Consultants and Contractors</t>
        </is>
      </c>
      <c r="C30" s="12" t="inlineStr">
        <is>
          <t>expense</t>
        </is>
      </c>
      <c r="D30" s="12" t="inlineStr">
        <is>
          <t>63100</t>
        </is>
      </c>
      <c r="E30" s="12" t="inlineStr">
        <is>
          <t>Existing base</t>
        </is>
      </c>
      <c r="F30" s="12" t="inlineStr">
        <is>
          <t>IT</t>
        </is>
      </c>
      <c r="G30" s="12">
        <f>IF(F30="Always","CORE",IF(OR(AND(F30="INDIVIDUAL",Profile!$C$6="Individual"),AND(F30="PT",Profile!$C$7="Yes"),AND(F30="PAYROLL",Profile!$C$8="Yes"),AND(F30="IT",OR(Profile!$C$9="Yes",Profile!$G$6="Yes",Profile!$G$7="Yes",Profile!$G$10="Yes")),AND(F30="IT_OR_PAYROLL",OR(Profile!$C$8="Yes",OR(Profile!$C$9="Yes",Profile!$G$6="Yes",Profile!$G$7="Yes",Profile!$G$10="Yes"))),AND(F30="VAT",Profile!$G$8="Yes"),AND(F30="EWT",Profile!$G$9="Yes")),"SUGGESTED","OPTIONAL"))</f>
        <v/>
      </c>
      <c r="H30" s="12" t="inlineStr">
        <is>
          <t>Independent contractor fees</t>
        </is>
      </c>
      <c r="I30" s="12" t="inlineStr">
        <is>
          <t>Potential supplier EWT is separate</t>
        </is>
      </c>
    </row>
    <row r="31" ht="46" customHeight="1">
      <c r="A31" s="15" t="inlineStr">
        <is>
          <t>legal</t>
        </is>
      </c>
      <c r="B31" s="15" t="inlineStr">
        <is>
          <t>Legal</t>
        </is>
      </c>
      <c r="C31" s="15" t="inlineStr">
        <is>
          <t>expense</t>
        </is>
      </c>
      <c r="D31" s="15" t="inlineStr">
        <is>
          <t>63200</t>
        </is>
      </c>
      <c r="E31" s="15" t="inlineStr">
        <is>
          <t>Existing base</t>
        </is>
      </c>
      <c r="F31" s="15" t="inlineStr">
        <is>
          <t>IT</t>
        </is>
      </c>
      <c r="G31" s="15">
        <f>IF(F31="Always","CORE",IF(OR(AND(F31="INDIVIDUAL",Profile!$C$6="Individual"),AND(F31="PT",Profile!$C$7="Yes"),AND(F31="PAYROLL",Profile!$C$8="Yes"),AND(F31="IT",OR(Profile!$C$9="Yes",Profile!$G$6="Yes",Profile!$G$7="Yes",Profile!$G$10="Yes")),AND(F31="IT_OR_PAYROLL",OR(Profile!$C$8="Yes",OR(Profile!$C$9="Yes",Profile!$G$6="Yes",Profile!$G$7="Yes",Profile!$G$10="Yes"))),AND(F31="VAT",Profile!$G$8="Yes"),AND(F31="EWT",Profile!$G$9="Yes")),"SUGGESTED","OPTIONAL"))</f>
        <v/>
      </c>
      <c r="H31" s="15" t="inlineStr">
        <is>
          <t>Legal services</t>
        </is>
      </c>
      <c r="I31" s="15" t="inlineStr">
        <is>
          <t>Potential supplier EWT is separate</t>
        </is>
      </c>
    </row>
    <row r="32" ht="46" customHeight="1">
      <c r="A32" s="12" t="inlineStr">
        <is>
          <t>tax_and_accounting</t>
        </is>
      </c>
      <c r="B32" s="12" t="inlineStr">
        <is>
          <t>Tax &amp; Accounting</t>
        </is>
      </c>
      <c r="C32" s="12" t="inlineStr">
        <is>
          <t>expense</t>
        </is>
      </c>
      <c r="D32" s="12" t="inlineStr">
        <is>
          <t>63300</t>
        </is>
      </c>
      <c r="E32" s="12" t="inlineStr">
        <is>
          <t>Existing base</t>
        </is>
      </c>
      <c r="F32" s="12" t="inlineStr">
        <is>
          <t>IT</t>
        </is>
      </c>
      <c r="G32" s="12">
        <f>IF(F32="Always","CORE",IF(OR(AND(F32="INDIVIDUAL",Profile!$C$6="Individual"),AND(F32="PT",Profile!$C$7="Yes"),AND(F32="PAYROLL",Profile!$C$8="Yes"),AND(F32="IT",OR(Profile!$C$9="Yes",Profile!$G$6="Yes",Profile!$G$7="Yes",Profile!$G$10="Yes")),AND(F32="IT_OR_PAYROLL",OR(Profile!$C$8="Yes",OR(Profile!$C$9="Yes",Profile!$G$6="Yes",Profile!$G$7="Yes",Profile!$G$10="Yes"))),AND(F32="VAT",Profile!$G$8="Yes"),AND(F32="EWT",Profile!$G$9="Yes")),"SUGGESTED","OPTIONAL"))</f>
        <v/>
      </c>
      <c r="H32" s="12" t="inlineStr">
        <is>
          <t>Accountancy and tax preparation</t>
        </is>
      </c>
      <c r="I32" s="12" t="inlineStr">
        <is>
          <t>Potential supplier EWT is separate</t>
        </is>
      </c>
    </row>
    <row r="33" ht="46" customHeight="1">
      <c r="A33" s="15" t="inlineStr">
        <is>
          <t>advertising</t>
        </is>
      </c>
      <c r="B33" s="15" t="inlineStr">
        <is>
          <t>Advertising</t>
        </is>
      </c>
      <c r="C33" s="15" t="inlineStr">
        <is>
          <t>expense</t>
        </is>
      </c>
      <c r="D33" s="15" t="inlineStr">
        <is>
          <t>64100</t>
        </is>
      </c>
      <c r="E33" s="15" t="inlineStr">
        <is>
          <t>Existing base</t>
        </is>
      </c>
      <c r="F33" s="15" t="inlineStr">
        <is>
          <t>IT</t>
        </is>
      </c>
      <c r="G33" s="15">
        <f>IF(F33="Always","CORE",IF(OR(AND(F33="INDIVIDUAL",Profile!$C$6="Individual"),AND(F33="PT",Profile!$C$7="Yes"),AND(F33="PAYROLL",Profile!$C$8="Yes"),AND(F33="IT",OR(Profile!$C$9="Yes",Profile!$G$6="Yes",Profile!$G$7="Yes",Profile!$G$10="Yes")),AND(F33="IT_OR_PAYROLL",OR(Profile!$C$8="Yes",OR(Profile!$C$9="Yes",Profile!$G$6="Yes",Profile!$G$7="Yes",Profile!$G$10="Yes"))),AND(F33="VAT",Profile!$G$8="Yes"),AND(F33="EWT",Profile!$G$9="Yes")),"SUGGESTED","OPTIONAL"))</f>
        <v/>
      </c>
      <c r="H33" s="15" t="inlineStr">
        <is>
          <t>Marketing spend</t>
        </is>
      </c>
      <c r="I33" s="15" t="inlineStr">
        <is>
          <t>Business purpose and invoice required</t>
        </is>
      </c>
    </row>
    <row r="34" ht="46" customHeight="1">
      <c r="A34" s="12" t="inlineStr">
        <is>
          <t>business_applications_and_software</t>
        </is>
      </c>
      <c r="B34" s="12" t="inlineStr">
        <is>
          <t>Business Applications &amp; Software</t>
        </is>
      </c>
      <c r="C34" s="12" t="inlineStr">
        <is>
          <t>expense</t>
        </is>
      </c>
      <c r="D34" s="12" t="inlineStr">
        <is>
          <t>65000</t>
        </is>
      </c>
      <c r="E34" s="12" t="inlineStr">
        <is>
          <t>Existing base</t>
        </is>
      </c>
      <c r="F34" s="12" t="inlineStr">
        <is>
          <t>IT</t>
        </is>
      </c>
      <c r="G34" s="12">
        <f>IF(F34="Always","CORE",IF(OR(AND(F34="INDIVIDUAL",Profile!$C$6="Individual"),AND(F34="PT",Profile!$C$7="Yes"),AND(F34="PAYROLL",Profile!$C$8="Yes"),AND(F34="IT",OR(Profile!$C$9="Yes",Profile!$G$6="Yes",Profile!$G$7="Yes",Profile!$G$10="Yes")),AND(F34="IT_OR_PAYROLL",OR(Profile!$C$8="Yes",OR(Profile!$C$9="Yes",Profile!$G$6="Yes",Profile!$G$7="Yes",Profile!$G$10="Yes"))),AND(F34="VAT",Profile!$G$8="Yes"),AND(F34="EWT",Profile!$G$9="Yes")),"SUGGESTED","OPTIONAL"))</f>
        <v/>
      </c>
      <c r="H34" s="12" t="inlineStr">
        <is>
          <t>Software subscriptions</t>
        </is>
      </c>
      <c r="I34" s="12" t="inlineStr">
        <is>
          <t>Check service, tax, cross-border and capitalization facts</t>
        </is>
      </c>
    </row>
    <row r="35" ht="46" customHeight="1">
      <c r="A35" s="15" t="inlineStr">
        <is>
          <t>rent</t>
        </is>
      </c>
      <c r="B35" s="15" t="inlineStr">
        <is>
          <t>Rent</t>
        </is>
      </c>
      <c r="C35" s="15" t="inlineStr">
        <is>
          <t>expense</t>
        </is>
      </c>
      <c r="D35" s="15" t="inlineStr">
        <is>
          <t>66100</t>
        </is>
      </c>
      <c r="E35" s="15" t="inlineStr">
        <is>
          <t>Existing base</t>
        </is>
      </c>
      <c r="F35" s="15" t="inlineStr">
        <is>
          <t>IT</t>
        </is>
      </c>
      <c r="G35" s="15">
        <f>IF(F35="Always","CORE",IF(OR(AND(F35="INDIVIDUAL",Profile!$C$6="Individual"),AND(F35="PT",Profile!$C$7="Yes"),AND(F35="PAYROLL",Profile!$C$8="Yes"),AND(F35="IT",OR(Profile!$C$9="Yes",Profile!$G$6="Yes",Profile!$G$7="Yes",Profile!$G$10="Yes")),AND(F35="IT_OR_PAYROLL",OR(Profile!$C$8="Yes",OR(Profile!$C$9="Yes",Profile!$G$6="Yes",Profile!$G$7="Yes",Profile!$G$10="Yes"))),AND(F35="VAT",Profile!$G$8="Yes"),AND(F35="EWT",Profile!$G$9="Yes")),"SUGGESTED","OPTIONAL"))</f>
        <v/>
      </c>
      <c r="H35" s="15" t="inlineStr">
        <is>
          <t>Rent</t>
        </is>
      </c>
      <c r="I35" s="15" t="inlineStr">
        <is>
          <t>Potential supplier EWT is separate</t>
        </is>
      </c>
    </row>
    <row r="36" ht="46" customHeight="1">
      <c r="A36" s="12" t="inlineStr">
        <is>
          <t>utilities</t>
        </is>
      </c>
      <c r="B36" s="12" t="inlineStr">
        <is>
          <t>Utilities</t>
        </is>
      </c>
      <c r="C36" s="12" t="inlineStr">
        <is>
          <t>expense</t>
        </is>
      </c>
      <c r="D36" s="12" t="inlineStr">
        <is>
          <t>66200</t>
        </is>
      </c>
      <c r="E36" s="12" t="inlineStr">
        <is>
          <t>Existing base</t>
        </is>
      </c>
      <c r="F36" s="12" t="inlineStr">
        <is>
          <t>IT</t>
        </is>
      </c>
      <c r="G36" s="12">
        <f>IF(F36="Always","CORE",IF(OR(AND(F36="INDIVIDUAL",Profile!$C$6="Individual"),AND(F36="PT",Profile!$C$7="Yes"),AND(F36="PAYROLL",Profile!$C$8="Yes"),AND(F36="IT",OR(Profile!$C$9="Yes",Profile!$G$6="Yes",Profile!$G$7="Yes",Profile!$G$10="Yes")),AND(F36="IT_OR_PAYROLL",OR(Profile!$C$8="Yes",OR(Profile!$C$9="Yes",Profile!$G$6="Yes",Profile!$G$7="Yes",Profile!$G$10="Yes"))),AND(F36="VAT",Profile!$G$8="Yes"),AND(F36="EWT",Profile!$G$9="Yes")),"SUGGESTED","OPTIONAL"))</f>
        <v/>
      </c>
      <c r="H36" s="12" t="inlineStr">
        <is>
          <t>Utilities</t>
        </is>
      </c>
      <c r="I36" s="12" t="inlineStr">
        <is>
          <t>Check allowable business share</t>
        </is>
      </c>
    </row>
    <row r="37" ht="46" customHeight="1">
      <c r="A37" s="15" t="inlineStr">
        <is>
          <t>repairs_and_maintenance</t>
        </is>
      </c>
      <c r="B37" s="15" t="inlineStr">
        <is>
          <t>Repairs and Maintenance</t>
        </is>
      </c>
      <c r="C37" s="15" t="inlineStr">
        <is>
          <t>expense</t>
        </is>
      </c>
      <c r="D37" s="15" t="inlineStr">
        <is>
          <t>66300</t>
        </is>
      </c>
      <c r="E37" s="15" t="inlineStr">
        <is>
          <t>Existing base</t>
        </is>
      </c>
      <c r="F37" s="15" t="inlineStr">
        <is>
          <t>IT</t>
        </is>
      </c>
      <c r="G37" s="15">
        <f>IF(F37="Always","CORE",IF(OR(AND(F37="INDIVIDUAL",Profile!$C$6="Individual"),AND(F37="PT",Profile!$C$7="Yes"),AND(F37="PAYROLL",Profile!$C$8="Yes"),AND(F37="IT",OR(Profile!$C$9="Yes",Profile!$G$6="Yes",Profile!$G$7="Yes",Profile!$G$10="Yes")),AND(F37="IT_OR_PAYROLL",OR(Profile!$C$8="Yes",OR(Profile!$C$9="Yes",Profile!$G$6="Yes",Profile!$G$7="Yes",Profile!$G$10="Yes"))),AND(F37="VAT",Profile!$G$8="Yes"),AND(F37="EWT",Profile!$G$9="Yes")),"SUGGESTED","OPTIONAL"))</f>
        <v/>
      </c>
      <c r="H37" s="15" t="inlineStr">
        <is>
          <t>Repairs</t>
        </is>
      </c>
      <c r="I37" s="15" t="inlineStr">
        <is>
          <t>Capital improvements may be assets</t>
        </is>
      </c>
    </row>
    <row r="38" ht="46" customHeight="1">
      <c r="A38" s="12" t="inlineStr">
        <is>
          <t>office_supplies</t>
        </is>
      </c>
      <c r="B38" s="12" t="inlineStr">
        <is>
          <t>Office Supplies</t>
        </is>
      </c>
      <c r="C38" s="12" t="inlineStr">
        <is>
          <t>expense</t>
        </is>
      </c>
      <c r="D38" s="12" t="inlineStr">
        <is>
          <t>67200</t>
        </is>
      </c>
      <c r="E38" s="12" t="inlineStr">
        <is>
          <t>Existing base</t>
        </is>
      </c>
      <c r="F38" s="12" t="inlineStr">
        <is>
          <t>IT</t>
        </is>
      </c>
      <c r="G38" s="12">
        <f>IF(F38="Always","CORE",IF(OR(AND(F38="INDIVIDUAL",Profile!$C$6="Individual"),AND(F38="PT",Profile!$C$7="Yes"),AND(F38="PAYROLL",Profile!$C$8="Yes"),AND(F38="IT",OR(Profile!$C$9="Yes",Profile!$G$6="Yes",Profile!$G$7="Yes",Profile!$G$10="Yes")),AND(F38="IT_OR_PAYROLL",OR(Profile!$C$8="Yes",OR(Profile!$C$9="Yes",Profile!$G$6="Yes",Profile!$G$7="Yes",Profile!$G$10="Yes"))),AND(F38="VAT",Profile!$G$8="Yes"),AND(F38="EWT",Profile!$G$9="Yes")),"SUGGESTED","OPTIONAL"))</f>
        <v/>
      </c>
      <c r="H38" s="12" t="inlineStr">
        <is>
          <t>Consumable supplies</t>
        </is>
      </c>
      <c r="I38" s="12" t="inlineStr">
        <is>
          <t>Potential itemized deduction</t>
        </is>
      </c>
    </row>
    <row r="39" ht="46" customHeight="1">
      <c r="A39" s="15" t="inlineStr">
        <is>
          <t>airfare</t>
        </is>
      </c>
      <c r="B39" s="15" t="inlineStr">
        <is>
          <t>Airfare</t>
        </is>
      </c>
      <c r="C39" s="15" t="inlineStr">
        <is>
          <t>expense</t>
        </is>
      </c>
      <c r="D39" s="15" t="inlineStr">
        <is>
          <t>62100</t>
        </is>
      </c>
      <c r="E39" s="15" t="inlineStr">
        <is>
          <t>Existing base</t>
        </is>
      </c>
      <c r="F39" s="15" t="inlineStr">
        <is>
          <t>IT</t>
        </is>
      </c>
      <c r="G39" s="15">
        <f>IF(F39="Always","CORE",IF(OR(AND(F39="INDIVIDUAL",Profile!$C$6="Individual"),AND(F39="PT",Profile!$C$7="Yes"),AND(F39="PAYROLL",Profile!$C$8="Yes"),AND(F39="IT",OR(Profile!$C$9="Yes",Profile!$G$6="Yes",Profile!$G$7="Yes",Profile!$G$10="Yes")),AND(F39="IT_OR_PAYROLL",OR(Profile!$C$8="Yes",OR(Profile!$C$9="Yes",Profile!$G$6="Yes",Profile!$G$7="Yes",Profile!$G$10="Yes"))),AND(F39="VAT",Profile!$G$8="Yes"),AND(F39="EWT",Profile!$G$9="Yes")),"SUGGESTED","OPTIONAL"))</f>
        <v/>
      </c>
      <c r="H39" s="15" t="inlineStr">
        <is>
          <t>Business travel</t>
        </is>
      </c>
      <c r="I39" s="15" t="inlineStr">
        <is>
          <t>Requires business purpose and supporting documents</t>
        </is>
      </c>
    </row>
    <row r="40" ht="46" customHeight="1">
      <c r="A40" s="12" t="inlineStr">
        <is>
          <t>meals</t>
        </is>
      </c>
      <c r="B40" s="12" t="inlineStr">
        <is>
          <t>Meals</t>
        </is>
      </c>
      <c r="C40" s="12" t="inlineStr">
        <is>
          <t>expense</t>
        </is>
      </c>
      <c r="D40" s="12" t="inlineStr">
        <is>
          <t>62400</t>
        </is>
      </c>
      <c r="E40" s="12" t="inlineStr">
        <is>
          <t>Existing base</t>
        </is>
      </c>
      <c r="F40" s="12" t="inlineStr">
        <is>
          <t>IT</t>
        </is>
      </c>
      <c r="G40" s="12">
        <f>IF(F40="Always","CORE",IF(OR(AND(F40="INDIVIDUAL",Profile!$C$6="Individual"),AND(F40="PT",Profile!$C$7="Yes"),AND(F40="PAYROLL",Profile!$C$8="Yes"),AND(F40="IT",OR(Profile!$C$9="Yes",Profile!$G$6="Yes",Profile!$G$7="Yes",Profile!$G$10="Yes")),AND(F40="IT_OR_PAYROLL",OR(Profile!$C$8="Yes",OR(Profile!$C$9="Yes",Profile!$G$6="Yes",Profile!$G$7="Yes",Profile!$G$10="Yes"))),AND(F40="VAT",Profile!$G$8="Yes"),AND(F40="EWT",Profile!$G$9="Yes")),"SUGGESTED","OPTIONAL"))</f>
        <v/>
      </c>
      <c r="H40" s="12" t="inlineStr">
        <is>
          <t>Meals</t>
        </is>
      </c>
      <c r="I40" s="12" t="inlineStr">
        <is>
          <t>Deductibility can be limited</t>
        </is>
      </c>
    </row>
    <row r="41" ht="46" customHeight="1">
      <c r="A41" s="15" t="inlineStr">
        <is>
          <t>bank_fees</t>
        </is>
      </c>
      <c r="B41" s="15" t="inlineStr">
        <is>
          <t>Bank Fees</t>
        </is>
      </c>
      <c r="C41" s="15" t="inlineStr">
        <is>
          <t>expense</t>
        </is>
      </c>
      <c r="D41" s="15" t="inlineStr">
        <is>
          <t>68300</t>
        </is>
      </c>
      <c r="E41" s="15" t="inlineStr">
        <is>
          <t>Existing base</t>
        </is>
      </c>
      <c r="F41" s="15" t="inlineStr">
        <is>
          <t>IT</t>
        </is>
      </c>
      <c r="G41" s="15">
        <f>IF(F41="Always","CORE",IF(OR(AND(F41="INDIVIDUAL",Profile!$C$6="Individual"),AND(F41="PT",Profile!$C$7="Yes"),AND(F41="PAYROLL",Profile!$C$8="Yes"),AND(F41="IT",OR(Profile!$C$9="Yes",Profile!$G$6="Yes",Profile!$G$7="Yes",Profile!$G$10="Yes")),AND(F41="IT_OR_PAYROLL",OR(Profile!$C$8="Yes",OR(Profile!$C$9="Yes",Profile!$G$6="Yes",Profile!$G$7="Yes",Profile!$G$10="Yes"))),AND(F41="VAT",Profile!$G$8="Yes"),AND(F41="EWT",Profile!$G$9="Yes")),"SUGGESTED","OPTIONAL"))</f>
        <v/>
      </c>
      <c r="H41" s="15" t="inlineStr">
        <is>
          <t>Bank fees</t>
        </is>
      </c>
      <c r="I41" s="15" t="inlineStr">
        <is>
          <t>Separate from bank transfers</t>
        </is>
      </c>
    </row>
    <row r="42" ht="46" customHeight="1">
      <c r="A42" s="12" t="inlineStr">
        <is>
          <t>interest_expense</t>
        </is>
      </c>
      <c r="B42" s="12" t="inlineStr">
        <is>
          <t>Interest Expense</t>
        </is>
      </c>
      <c r="C42" s="12" t="inlineStr">
        <is>
          <t>other_expense</t>
        </is>
      </c>
      <c r="D42" s="12" t="inlineStr">
        <is>
          <t>91000</t>
        </is>
      </c>
      <c r="E42" s="12" t="inlineStr">
        <is>
          <t>Existing base</t>
        </is>
      </c>
      <c r="F42" s="12" t="inlineStr">
        <is>
          <t>IT</t>
        </is>
      </c>
      <c r="G42" s="12">
        <f>IF(F42="Always","CORE",IF(OR(AND(F42="INDIVIDUAL",Profile!$C$6="Individual"),AND(F42="PT",Profile!$C$7="Yes"),AND(F42="PAYROLL",Profile!$C$8="Yes"),AND(F42="IT",OR(Profile!$C$9="Yes",Profile!$G$6="Yes",Profile!$G$7="Yes",Profile!$G$10="Yes")),AND(F42="IT_OR_PAYROLL",OR(Profile!$C$8="Yes",OR(Profile!$C$9="Yes",Profile!$G$6="Yes",Profile!$G$7="Yes",Profile!$G$10="Yes"))),AND(F42="VAT",Profile!$G$8="Yes"),AND(F42="EWT",Profile!$G$9="Yes")),"SUGGESTED","OPTIONAL"))</f>
        <v/>
      </c>
      <c r="H42" s="12" t="inlineStr">
        <is>
          <t>Business borrowing cost</t>
        </is>
      </c>
      <c r="I42" s="12" t="inlineStr">
        <is>
          <t>Apply restrictions; principal is not an expense</t>
        </is>
      </c>
    </row>
    <row r="43" ht="46" customHeight="1">
      <c r="A43" s="15" t="inlineStr">
        <is>
          <t>depreciation_expense</t>
        </is>
      </c>
      <c r="B43" s="15" t="inlineStr">
        <is>
          <t>Depreciation Expense</t>
        </is>
      </c>
      <c r="C43" s="15" t="inlineStr">
        <is>
          <t>expense</t>
        </is>
      </c>
      <c r="D43" s="15" t="str"/>
      <c r="E43" s="15" t="inlineStr">
        <is>
          <t>Proposed</t>
        </is>
      </c>
      <c r="F43" s="15" t="inlineStr">
        <is>
          <t>IT</t>
        </is>
      </c>
      <c r="G43" s="15">
        <f>IF(F43="Always","CORE",IF(OR(AND(F43="INDIVIDUAL",Profile!$C$6="Individual"),AND(F43="PT",Profile!$C$7="Yes"),AND(F43="PAYROLL",Profile!$C$8="Yes"),AND(F43="IT",OR(Profile!$C$9="Yes",Profile!$G$6="Yes",Profile!$G$7="Yes",Profile!$G$10="Yes")),AND(F43="IT_OR_PAYROLL",OR(Profile!$C$8="Yes",OR(Profile!$C$9="Yes",Profile!$G$6="Yes",Profile!$G$7="Yes",Profile!$G$10="Yes"))),AND(F43="VAT",Profile!$G$8="Yes"),AND(F43="EWT",Profile!$G$9="Yes")),"SUGGESTED","OPTIONAL"))</f>
        <v/>
      </c>
      <c r="H43" s="15" t="inlineStr">
        <is>
          <t>Periodic fixed-asset cost</t>
        </is>
      </c>
      <c r="I43" s="15" t="inlineStr">
        <is>
          <t>Use fixed asset schedule and tax adjustment</t>
        </is>
      </c>
    </row>
    <row r="44" ht="46" customHeight="1">
      <c r="A44" s="12" t="inlineStr">
        <is>
          <t>ph_cwt_receivable</t>
        </is>
      </c>
      <c r="B44" s="12" t="inlineStr">
        <is>
          <t>Creditable Withholding Tax Receivable</t>
        </is>
      </c>
      <c r="C44" s="12" t="inlineStr">
        <is>
          <t>asset</t>
        </is>
      </c>
      <c r="D44" s="12" t="inlineStr">
        <is>
          <t>12600</t>
        </is>
      </c>
      <c r="E44" s="12" t="inlineStr">
        <is>
          <t>Existing PH control</t>
        </is>
      </c>
      <c r="F44" s="12" t="inlineStr">
        <is>
          <t>IT</t>
        </is>
      </c>
      <c r="G44" s="12">
        <f>IF(F44="Always","CORE",IF(OR(AND(F44="INDIVIDUAL",Profile!$C$6="Individual"),AND(F44="PT",Profile!$C$7="Yes"),AND(F44="PAYROLL",Profile!$C$8="Yes"),AND(F44="IT",OR(Profile!$C$9="Yes",Profile!$G$6="Yes",Profile!$G$7="Yes",Profile!$G$10="Yes")),AND(F44="IT_OR_PAYROLL",OR(Profile!$C$8="Yes",OR(Profile!$C$9="Yes",Profile!$G$6="Yes",Profile!$G$7="Yes",Profile!$G$10="Yes"))),AND(F44="VAT",Profile!$G$8="Yes"),AND(F44="EWT",Profile!$G$9="Yes")),"SUGGESTED","OPTIONAL"))</f>
        <v/>
      </c>
      <c r="H44" s="12" t="inlineStr">
        <is>
          <t>Income-tax withholding received</t>
        </is>
      </c>
      <c r="I44" s="12" t="inlineStr">
        <is>
          <t>Use income-tax 2307 amount by quarter</t>
        </is>
      </c>
    </row>
    <row r="45" ht="46" customHeight="1">
      <c r="A45" s="15" t="inlineStr">
        <is>
          <t>pct_tax_credit_receivable</t>
        </is>
      </c>
      <c r="B45" s="15" t="inlineStr">
        <is>
          <t>Percentage Tax Withheld Receivable</t>
        </is>
      </c>
      <c r="C45" s="15" t="inlineStr">
        <is>
          <t>asset</t>
        </is>
      </c>
      <c r="D45" s="15" t="str"/>
      <c r="E45" s="15" t="inlineStr">
        <is>
          <t>Proposed</t>
        </is>
      </c>
      <c r="F45" s="15" t="inlineStr">
        <is>
          <t>PT</t>
        </is>
      </c>
      <c r="G45" s="15">
        <f>IF(F45="Always","CORE",IF(OR(AND(F45="INDIVIDUAL",Profile!$C$6="Individual"),AND(F45="PT",Profile!$C$7="Yes"),AND(F45="PAYROLL",Profile!$C$8="Yes"),AND(F45="IT",OR(Profile!$C$9="Yes",Profile!$G$6="Yes",Profile!$G$7="Yes",Profile!$G$10="Yes")),AND(F45="IT_OR_PAYROLL",OR(Profile!$C$8="Yes",OR(Profile!$C$9="Yes",Profile!$G$6="Yes",Profile!$G$7="Yes",Profile!$G$10="Yes"))),AND(F45="VAT",Profile!$G$8="Yes"),AND(F45="EWT",Profile!$G$9="Yes")),"SUGGESTED","OPTIONAL"))</f>
        <v/>
      </c>
      <c r="H45" s="15" t="inlineStr">
        <is>
          <t>Percentage tax withheld from the seller</t>
        </is>
      </c>
      <c r="I45" s="15" t="inlineStr">
        <is>
          <t>Optional separate control; distinguish from income-tax CWT</t>
        </is>
      </c>
    </row>
    <row r="46" ht="46" customHeight="1">
      <c r="A46" s="12" t="inlineStr">
        <is>
          <t>ph_percentage_tax_payable</t>
        </is>
      </c>
      <c r="B46" s="12" t="inlineStr">
        <is>
          <t>Percentage Tax Payable</t>
        </is>
      </c>
      <c r="C46" s="12" t="inlineStr">
        <is>
          <t>liability</t>
        </is>
      </c>
      <c r="D46" s="12" t="inlineStr">
        <is>
          <t>21800</t>
        </is>
      </c>
      <c r="E46" s="12" t="inlineStr">
        <is>
          <t>Existing PH control</t>
        </is>
      </c>
      <c r="F46" s="12" t="inlineStr">
        <is>
          <t>PT</t>
        </is>
      </c>
      <c r="G46" s="12">
        <f>IF(F46="Always","CORE",IF(OR(AND(F46="INDIVIDUAL",Profile!$C$6="Individual"),AND(F46="PT",Profile!$C$7="Yes"),AND(F46="PAYROLL",Profile!$C$8="Yes"),AND(F46="IT",OR(Profile!$C$9="Yes",Profile!$G$6="Yes",Profile!$G$7="Yes",Profile!$G$10="Yes")),AND(F46="IT_OR_PAYROLL",OR(Profile!$C$8="Yes",OR(Profile!$C$9="Yes",Profile!$G$6="Yes",Profile!$G$7="Yes",Profile!$G$10="Yes"))),AND(F46="VAT",Profile!$G$8="Yes"),AND(F46="EWT",Profile!$G$9="Yes")),"SUGGESTED","OPTIONAL"))</f>
        <v/>
      </c>
      <c r="H46" s="12" t="inlineStr">
        <is>
          <t>Accrued percentage tax</t>
        </is>
      </c>
      <c r="I46" s="12" t="inlineStr">
        <is>
          <t>Reconcile to 2551Q; not the taxable-sales base</t>
        </is>
      </c>
    </row>
    <row r="47" ht="46" customHeight="1">
      <c r="A47" s="15" t="inlineStr">
        <is>
          <t>ph_percentage_tax_expense</t>
        </is>
      </c>
      <c r="B47" s="15" t="inlineStr">
        <is>
          <t>Percentage Tax Expense</t>
        </is>
      </c>
      <c r="C47" s="15" t="inlineStr">
        <is>
          <t>other_expense</t>
        </is>
      </c>
      <c r="D47" s="15" t="inlineStr">
        <is>
          <t>94100</t>
        </is>
      </c>
      <c r="E47" s="15" t="inlineStr">
        <is>
          <t>Existing PH control</t>
        </is>
      </c>
      <c r="F47" s="15" t="inlineStr">
        <is>
          <t>PT</t>
        </is>
      </c>
      <c r="G47" s="15">
        <f>IF(F47="Always","CORE",IF(OR(AND(F47="INDIVIDUAL",Profile!$C$6="Individual"),AND(F47="PT",Profile!$C$7="Yes"),AND(F47="PAYROLL",Profile!$C$8="Yes"),AND(F47="IT",OR(Profile!$C$9="Yes",Profile!$G$6="Yes",Profile!$G$7="Yes",Profile!$G$10="Yes")),AND(F47="IT_OR_PAYROLL",OR(Profile!$C$8="Yes",OR(Profile!$C$9="Yes",Profile!$G$6="Yes",Profile!$G$7="Yes",Profile!$G$10="Yes"))),AND(F47="VAT",Profile!$G$8="Yes"),AND(F47="EWT",Profile!$G$9="Yes")),"SUGGESTED","OPTIONAL"))</f>
        <v/>
      </c>
      <c r="H47" s="15" t="inlineStr">
        <is>
          <t>Percentage tax cost</t>
        </is>
      </c>
      <c r="I47" s="15" t="inlineStr">
        <is>
          <t>Potential itemized tax deduction; check conditions</t>
        </is>
      </c>
    </row>
    <row r="48" ht="46" customHeight="1">
      <c r="A48" s="12" t="inlineStr">
        <is>
          <t>income_tax_paid</t>
        </is>
      </c>
      <c r="B48" s="12" t="inlineStr">
        <is>
          <t>Income Tax Payments / Credits</t>
        </is>
      </c>
      <c r="C48" s="12" t="inlineStr">
        <is>
          <t>asset</t>
        </is>
      </c>
      <c r="D48" s="12" t="str"/>
      <c r="E48" s="12" t="inlineStr">
        <is>
          <t>Proposed</t>
        </is>
      </c>
      <c r="F48" s="12" t="inlineStr">
        <is>
          <t>IT</t>
        </is>
      </c>
      <c r="G48" s="12">
        <f>IF(F48="Always","CORE",IF(OR(AND(F48="INDIVIDUAL",Profile!$C$6="Individual"),AND(F48="PT",Profile!$C$7="Yes"),AND(F48="PAYROLL",Profile!$C$8="Yes"),AND(F48="IT",OR(Profile!$C$9="Yes",Profile!$G$6="Yes",Profile!$G$7="Yes",Profile!$G$10="Yes")),AND(F48="IT_OR_PAYROLL",OR(Profile!$C$8="Yes",OR(Profile!$C$9="Yes",Profile!$G$6="Yes",Profile!$G$7="Yes",Profile!$G$10="Yes"))),AND(F48="VAT",Profile!$G$8="Yes"),AND(F48="EWT",Profile!$G$9="Yes")),"SUGGESTED","OPTIONAL"))</f>
        <v/>
      </c>
      <c r="H48" s="12" t="inlineStr">
        <is>
          <t>Prior income-tax payments</t>
        </is>
      </c>
      <c r="I48" s="12" t="inlineStr">
        <is>
          <t>Retain return, period, amount and proof</t>
        </is>
      </c>
    </row>
    <row r="49" ht="46" customHeight="1">
      <c r="A49" s="15" t="inlineStr">
        <is>
          <t>income_tax_payable</t>
        </is>
      </c>
      <c r="B49" s="15" t="inlineStr">
        <is>
          <t>Income Tax Payable</t>
        </is>
      </c>
      <c r="C49" s="15" t="inlineStr">
        <is>
          <t>liability</t>
        </is>
      </c>
      <c r="D49" s="15" t="str"/>
      <c r="E49" s="15" t="inlineStr">
        <is>
          <t>Proposed</t>
        </is>
      </c>
      <c r="F49" s="15" t="inlineStr">
        <is>
          <t>IT</t>
        </is>
      </c>
      <c r="G49" s="15">
        <f>IF(F49="Always","CORE",IF(OR(AND(F49="INDIVIDUAL",Profile!$C$6="Individual"),AND(F49="PT",Profile!$C$7="Yes"),AND(F49="PAYROLL",Profile!$C$8="Yes"),AND(F49="IT",OR(Profile!$C$9="Yes",Profile!$G$6="Yes",Profile!$G$7="Yes",Profile!$G$10="Yes")),AND(F49="IT_OR_PAYROLL",OR(Profile!$C$8="Yes",OR(Profile!$C$9="Yes",Profile!$G$6="Yes",Profile!$G$7="Yes",Profile!$G$10="Yes"))),AND(F49="VAT",Profile!$G$8="Yes"),AND(F49="EWT",Profile!$G$9="Yes")),"SUGGESTED","OPTIONAL"))</f>
        <v/>
      </c>
      <c r="H49" s="15" t="inlineStr">
        <is>
          <t>Accrued income tax</t>
        </is>
      </c>
      <c r="I49" s="15" t="inlineStr">
        <is>
          <t>Separate from payroll and supplier withholding</t>
        </is>
      </c>
    </row>
    <row r="50" ht="46" customHeight="1">
      <c r="A50" s="12" t="inlineStr">
        <is>
          <t>ph_wtc_payable</t>
        </is>
      </c>
      <c r="B50" s="12" t="inlineStr">
        <is>
          <t>Withholding Tax on Compensation Payable</t>
        </is>
      </c>
      <c r="C50" s="12" t="inlineStr">
        <is>
          <t>liability</t>
        </is>
      </c>
      <c r="D50" s="12" t="inlineStr">
        <is>
          <t>25110</t>
        </is>
      </c>
      <c r="E50" s="12" t="inlineStr">
        <is>
          <t>Existing PH control</t>
        </is>
      </c>
      <c r="F50" s="12" t="inlineStr">
        <is>
          <t>PAYROLL</t>
        </is>
      </c>
      <c r="G50" s="12">
        <f>IF(F50="Always","CORE",IF(OR(AND(F50="INDIVIDUAL",Profile!$C$6="Individual"),AND(F50="PT",Profile!$C$7="Yes"),AND(F50="PAYROLL",Profile!$C$8="Yes"),AND(F50="IT",OR(Profile!$C$9="Yes",Profile!$G$6="Yes",Profile!$G$7="Yes",Profile!$G$10="Yes")),AND(F50="IT_OR_PAYROLL",OR(Profile!$C$8="Yes",OR(Profile!$C$9="Yes",Profile!$G$6="Yes",Profile!$G$7="Yes",Profile!$G$10="Yes"))),AND(F50="VAT",Profile!$G$8="Yes"),AND(F50="EWT",Profile!$G$9="Yes")),"SUGGESTED","OPTIONAL"))</f>
        <v/>
      </c>
      <c r="H50" s="12" t="inlineStr">
        <is>
          <t>Employee income tax withheld</t>
        </is>
      </c>
      <c r="I50" s="12" t="inlineStr">
        <is>
          <t>Reconcile with 1601-C and payroll detail</t>
        </is>
      </c>
    </row>
    <row r="51" ht="46" customHeight="1">
      <c r="A51" s="15" t="inlineStr">
        <is>
          <t>ph_sss_payable</t>
        </is>
      </c>
      <c r="B51" s="15" t="inlineStr">
        <is>
          <t>SSS Contributions Payable</t>
        </is>
      </c>
      <c r="C51" s="15" t="inlineStr">
        <is>
          <t>liability</t>
        </is>
      </c>
      <c r="D51" s="15" t="inlineStr">
        <is>
          <t>25120</t>
        </is>
      </c>
      <c r="E51" s="15" t="inlineStr">
        <is>
          <t>Existing PH control</t>
        </is>
      </c>
      <c r="F51" s="15" t="inlineStr">
        <is>
          <t>PAYROLL</t>
        </is>
      </c>
      <c r="G51" s="15">
        <f>IF(F51="Always","CORE",IF(OR(AND(F51="INDIVIDUAL",Profile!$C$6="Individual"),AND(F51="PT",Profile!$C$7="Yes"),AND(F51="PAYROLL",Profile!$C$8="Yes"),AND(F51="IT",OR(Profile!$C$9="Yes",Profile!$G$6="Yes",Profile!$G$7="Yes",Profile!$G$10="Yes")),AND(F51="IT_OR_PAYROLL",OR(Profile!$C$8="Yes",OR(Profile!$C$9="Yes",Profile!$G$6="Yes",Profile!$G$7="Yes",Profile!$G$10="Yes"))),AND(F51="VAT",Profile!$G$8="Yes"),AND(F51="EWT",Profile!$G$9="Yes")),"SUGGESTED","OPTIONAL"))</f>
        <v/>
      </c>
      <c r="H51" s="15" t="inlineStr">
        <is>
          <t>Employee plus employer contribution liability</t>
        </is>
      </c>
      <c r="I51" s="15" t="inlineStr">
        <is>
          <t>1601-C item 19 uses employee share only</t>
        </is>
      </c>
    </row>
    <row r="52" ht="46" customHeight="1">
      <c r="A52" s="12" t="inlineStr">
        <is>
          <t>ph_philhealth_payable</t>
        </is>
      </c>
      <c r="B52" s="12" t="inlineStr">
        <is>
          <t>PhilHealth Contributions Payable</t>
        </is>
      </c>
      <c r="C52" s="12" t="inlineStr">
        <is>
          <t>liability</t>
        </is>
      </c>
      <c r="D52" s="12" t="inlineStr">
        <is>
          <t>25130</t>
        </is>
      </c>
      <c r="E52" s="12" t="inlineStr">
        <is>
          <t>Existing PH control</t>
        </is>
      </c>
      <c r="F52" s="12" t="inlineStr">
        <is>
          <t>PAYROLL</t>
        </is>
      </c>
      <c r="G52" s="12">
        <f>IF(F52="Always","CORE",IF(OR(AND(F52="INDIVIDUAL",Profile!$C$6="Individual"),AND(F52="PT",Profile!$C$7="Yes"),AND(F52="PAYROLL",Profile!$C$8="Yes"),AND(F52="IT",OR(Profile!$C$9="Yes",Profile!$G$6="Yes",Profile!$G$7="Yes",Profile!$G$10="Yes")),AND(F52="IT_OR_PAYROLL",OR(Profile!$C$8="Yes",OR(Profile!$C$9="Yes",Profile!$G$6="Yes",Profile!$G$7="Yes",Profile!$G$10="Yes"))),AND(F52="VAT",Profile!$G$8="Yes"),AND(F52="EWT",Profile!$G$9="Yes")),"SUGGESTED","OPTIONAL"))</f>
        <v/>
      </c>
      <c r="H52" s="12" t="inlineStr">
        <is>
          <t>Employee plus employer contribution liability</t>
        </is>
      </c>
      <c r="I52" s="12" t="inlineStr">
        <is>
          <t>1601-C item 19 uses employee share only</t>
        </is>
      </c>
    </row>
    <row r="53" ht="46" customHeight="1">
      <c r="A53" s="15" t="inlineStr">
        <is>
          <t>ph_pagibig_payable</t>
        </is>
      </c>
      <c r="B53" s="15" t="inlineStr">
        <is>
          <t>Pag-IBIG Contributions Payable</t>
        </is>
      </c>
      <c r="C53" s="15" t="inlineStr">
        <is>
          <t>liability</t>
        </is>
      </c>
      <c r="D53" s="15" t="inlineStr">
        <is>
          <t>25140</t>
        </is>
      </c>
      <c r="E53" s="15" t="inlineStr">
        <is>
          <t>Existing PH control</t>
        </is>
      </c>
      <c r="F53" s="15" t="inlineStr">
        <is>
          <t>PAYROLL</t>
        </is>
      </c>
      <c r="G53" s="15">
        <f>IF(F53="Always","CORE",IF(OR(AND(F53="INDIVIDUAL",Profile!$C$6="Individual"),AND(F53="PT",Profile!$C$7="Yes"),AND(F53="PAYROLL",Profile!$C$8="Yes"),AND(F53="IT",OR(Profile!$C$9="Yes",Profile!$G$6="Yes",Profile!$G$7="Yes",Profile!$G$10="Yes")),AND(F53="IT_OR_PAYROLL",OR(Profile!$C$8="Yes",OR(Profile!$C$9="Yes",Profile!$G$6="Yes",Profile!$G$7="Yes",Profile!$G$10="Yes"))),AND(F53="VAT",Profile!$G$8="Yes"),AND(F53="EWT",Profile!$G$9="Yes")),"SUGGESTED","OPTIONAL"))</f>
        <v/>
      </c>
      <c r="H53" s="15" t="inlineStr">
        <is>
          <t>Employee plus employer contribution liability</t>
        </is>
      </c>
      <c r="I53" s="15" t="inlineStr">
        <is>
          <t>1601-C item 19 uses employee share only</t>
        </is>
      </c>
    </row>
    <row r="54" ht="46" customHeight="1">
      <c r="A54" s="12" t="inlineStr">
        <is>
          <t>ph_union_dues_payable</t>
        </is>
      </c>
      <c r="B54" s="12" t="inlineStr">
        <is>
          <t>Union Dues Payable</t>
        </is>
      </c>
      <c r="C54" s="12" t="inlineStr">
        <is>
          <t>liability</t>
        </is>
      </c>
      <c r="D54" s="12" t="inlineStr">
        <is>
          <t>25150</t>
        </is>
      </c>
      <c r="E54" s="12" t="inlineStr">
        <is>
          <t>Existing PH control</t>
        </is>
      </c>
      <c r="F54" s="12" t="inlineStr">
        <is>
          <t>PAYROLL</t>
        </is>
      </c>
      <c r="G54" s="12">
        <f>IF(F54="Always","CORE",IF(OR(AND(F54="INDIVIDUAL",Profile!$C$6="Individual"),AND(F54="PT",Profile!$C$7="Yes"),AND(F54="PAYROLL",Profile!$C$8="Yes"),AND(F54="IT",OR(Profile!$C$9="Yes",Profile!$G$6="Yes",Profile!$G$7="Yes",Profile!$G$10="Yes")),AND(F54="IT_OR_PAYROLL",OR(Profile!$C$8="Yes",OR(Profile!$C$9="Yes",Profile!$G$6="Yes",Profile!$G$7="Yes",Profile!$G$10="Yes"))),AND(F54="VAT",Profile!$G$8="Yes"),AND(F54="EWT",Profile!$G$9="Yes")),"SUGGESTED","OPTIONAL"))</f>
        <v/>
      </c>
      <c r="H54" s="12" t="inlineStr">
        <is>
          <t>Employee union dues withheld</t>
        </is>
      </c>
      <c r="I54" s="12" t="inlineStr">
        <is>
          <t>Track employee deductions separately</t>
        </is>
      </c>
    </row>
    <row r="55" ht="46" customHeight="1">
      <c r="A55" s="15" t="inlineStr">
        <is>
          <t>ph_net_pay_payable</t>
        </is>
      </c>
      <c r="B55" s="15" t="inlineStr">
        <is>
          <t>Net Pay Payable</t>
        </is>
      </c>
      <c r="C55" s="15" t="inlineStr">
        <is>
          <t>liability</t>
        </is>
      </c>
      <c r="D55" s="15" t="inlineStr">
        <is>
          <t>25170</t>
        </is>
      </c>
      <c r="E55" s="15" t="inlineStr">
        <is>
          <t>Existing PH control</t>
        </is>
      </c>
      <c r="F55" s="15" t="inlineStr">
        <is>
          <t>PAYROLL</t>
        </is>
      </c>
      <c r="G55" s="15">
        <f>IF(F55="Always","CORE",IF(OR(AND(F55="INDIVIDUAL",Profile!$C$6="Individual"),AND(F55="PT",Profile!$C$7="Yes"),AND(F55="PAYROLL",Profile!$C$8="Yes"),AND(F55="IT",OR(Profile!$C$9="Yes",Profile!$G$6="Yes",Profile!$G$7="Yes",Profile!$G$10="Yes")),AND(F55="IT_OR_PAYROLL",OR(Profile!$C$8="Yes",OR(Profile!$C$9="Yes",Profile!$G$6="Yes",Profile!$G$7="Yes",Profile!$G$10="Yes"))),AND(F55="VAT",Profile!$G$8="Yes"),AND(F55="EWT",Profile!$G$9="Yes")),"SUGGESTED","OPTIONAL"))</f>
        <v/>
      </c>
      <c r="H55" s="15" t="inlineStr">
        <is>
          <t>Net amount payable to employees</t>
        </is>
      </c>
      <c r="I55" s="15" t="inlineStr">
        <is>
          <t>Not gross compensation</t>
        </is>
      </c>
    </row>
    <row r="56" ht="46" customHeight="1">
      <c r="A56" s="12" t="inlineStr">
        <is>
          <t>ph_employee_tax_refund_payable</t>
        </is>
      </c>
      <c r="B56" s="12" t="inlineStr">
        <is>
          <t>Employee Tax Refund Payable</t>
        </is>
      </c>
      <c r="C56" s="12" t="inlineStr">
        <is>
          <t>liability</t>
        </is>
      </c>
      <c r="D56" s="12" t="inlineStr">
        <is>
          <t>25175</t>
        </is>
      </c>
      <c r="E56" s="12" t="inlineStr">
        <is>
          <t>Existing PH control</t>
        </is>
      </c>
      <c r="F56" s="12" t="inlineStr">
        <is>
          <t>PAYROLL</t>
        </is>
      </c>
      <c r="G56" s="12">
        <f>IF(F56="Always","CORE",IF(OR(AND(F56="INDIVIDUAL",Profile!$C$6="Individual"),AND(F56="PT",Profile!$C$7="Yes"),AND(F56="PAYROLL",Profile!$C$8="Yes"),AND(F56="IT",OR(Profile!$C$9="Yes",Profile!$G$6="Yes",Profile!$G$7="Yes",Profile!$G$10="Yes")),AND(F56="IT_OR_PAYROLL",OR(Profile!$C$8="Yes",OR(Profile!$C$9="Yes",Profile!$G$6="Yes",Profile!$G$7="Yes",Profile!$G$10="Yes"))),AND(F56="VAT",Profile!$G$8="Yes"),AND(F56="EWT",Profile!$G$9="Yes")),"SUGGESTED","OPTIONAL"))</f>
        <v/>
      </c>
      <c r="H56" s="12" t="inlineStr">
        <is>
          <t>Refund owed to employee</t>
        </is>
      </c>
      <c r="I56" s="12" t="inlineStr">
        <is>
          <t>Handle annualization separately</t>
        </is>
      </c>
    </row>
    <row r="57" ht="46" customHeight="1">
      <c r="A57" s="15" t="inlineStr">
        <is>
          <t>ph_ewt_payable</t>
        </is>
      </c>
      <c r="B57" s="15" t="inlineStr">
        <is>
          <t>Expanded Withholding Tax Payable</t>
        </is>
      </c>
      <c r="C57" s="15" t="inlineStr">
        <is>
          <t>liability</t>
        </is>
      </c>
      <c r="D57" s="15" t="inlineStr">
        <is>
          <t>21600</t>
        </is>
      </c>
      <c r="E57" s="15" t="inlineStr">
        <is>
          <t>Existing PH control</t>
        </is>
      </c>
      <c r="F57" s="15" t="inlineStr">
        <is>
          <t>EWT</t>
        </is>
      </c>
      <c r="G57" s="15">
        <f>IF(F57="Always","CORE",IF(OR(AND(F57="INDIVIDUAL",Profile!$C$6="Individual"),AND(F57="PT",Profile!$C$7="Yes"),AND(F57="PAYROLL",Profile!$C$8="Yes"),AND(F57="IT",OR(Profile!$C$9="Yes",Profile!$G$6="Yes",Profile!$G$7="Yes",Profile!$G$10="Yes")),AND(F57="IT_OR_PAYROLL",OR(Profile!$C$8="Yes",OR(Profile!$C$9="Yes",Profile!$G$6="Yes",Profile!$G$7="Yes",Profile!$G$10="Yes"))),AND(F57="VAT",Profile!$G$8="Yes"),AND(F57="EWT",Profile!$G$9="Yes")),"SUGGESTED","OPTIONAL"))</f>
        <v/>
      </c>
      <c r="H57" s="15" t="inlineStr">
        <is>
          <t>Tax withheld from suppliers</t>
        </is>
      </c>
      <c r="I57" s="15" t="inlineStr">
        <is>
          <t>For 0619-E / 1601-EQ, not 1601-C payroll withholding</t>
        </is>
      </c>
    </row>
    <row r="58" ht="46" customHeight="1">
      <c r="A58" s="12" t="inlineStr">
        <is>
          <t>ph_input_vat</t>
        </is>
      </c>
      <c r="B58" s="12" t="inlineStr">
        <is>
          <t>Input VAT</t>
        </is>
      </c>
      <c r="C58" s="12" t="inlineStr">
        <is>
          <t>asset</t>
        </is>
      </c>
      <c r="D58" s="12" t="inlineStr">
        <is>
          <t>13800</t>
        </is>
      </c>
      <c r="E58" s="12" t="inlineStr">
        <is>
          <t>Existing PH control</t>
        </is>
      </c>
      <c r="F58" s="12" t="inlineStr">
        <is>
          <t>VAT</t>
        </is>
      </c>
      <c r="G58" s="12">
        <f>IF(F58="Always","CORE",IF(OR(AND(F58="INDIVIDUAL",Profile!$C$6="Individual"),AND(F58="PT",Profile!$C$7="Yes"),AND(F58="PAYROLL",Profile!$C$8="Yes"),AND(F58="IT",OR(Profile!$C$9="Yes",Profile!$G$6="Yes",Profile!$G$7="Yes",Profile!$G$10="Yes")),AND(F58="IT_OR_PAYROLL",OR(Profile!$C$8="Yes",OR(Profile!$C$9="Yes",Profile!$G$6="Yes",Profile!$G$7="Yes",Profile!$G$10="Yes"))),AND(F58="VAT",Profile!$G$8="Yes"),AND(F58="EWT",Profile!$G$9="Yes")),"SUGGESTED","OPTIONAL"))</f>
        <v/>
      </c>
      <c r="H58" s="12" t="inlineStr">
        <is>
          <t>Potential VAT credit</t>
        </is>
      </c>
      <c r="I58" s="12" t="inlineStr">
        <is>
          <t>For VAT filers / 2550Q; do not create claim from category alone</t>
        </is>
      </c>
    </row>
    <row r="59" ht="46" customHeight="1">
      <c r="A59" s="15" t="inlineStr">
        <is>
          <t>ph_input_vat_unpaid</t>
        </is>
      </c>
      <c r="B59" s="15" t="inlineStr">
        <is>
          <t>Input VAT - Unpaid Payables</t>
        </is>
      </c>
      <c r="C59" s="15" t="inlineStr">
        <is>
          <t>asset</t>
        </is>
      </c>
      <c r="D59" s="15" t="inlineStr">
        <is>
          <t>13810</t>
        </is>
      </c>
      <c r="E59" s="15" t="inlineStr">
        <is>
          <t>Existing PH control</t>
        </is>
      </c>
      <c r="F59" s="15" t="inlineStr">
        <is>
          <t>VAT</t>
        </is>
      </c>
      <c r="G59" s="15">
        <f>IF(F59="Always","CORE",IF(OR(AND(F59="INDIVIDUAL",Profile!$C$6="Individual"),AND(F59="PT",Profile!$C$7="Yes"),AND(F59="PAYROLL",Profile!$C$8="Yes"),AND(F59="IT",OR(Profile!$C$9="Yes",Profile!$G$6="Yes",Profile!$G$7="Yes",Profile!$G$10="Yes")),AND(F59="IT_OR_PAYROLL",OR(Profile!$C$8="Yes",OR(Profile!$C$9="Yes",Profile!$G$6="Yes",Profile!$G$7="Yes",Profile!$G$10="Yes"))),AND(F59="VAT",Profile!$G$8="Yes"),AND(F59="EWT",Profile!$G$9="Yes")),"SUGGESTED","OPTIONAL"))</f>
        <v/>
      </c>
      <c r="H59" s="15" t="inlineStr">
        <is>
          <t>Input VAT for unpaid purchase transactions</t>
        </is>
      </c>
      <c r="I59" s="15" t="inlineStr">
        <is>
          <t>Eligibility and timing require current rule review</t>
        </is>
      </c>
    </row>
    <row r="60" ht="46" customHeight="1">
      <c r="A60" s="12" t="inlineStr">
        <is>
          <t>ph_output_vat</t>
        </is>
      </c>
      <c r="B60" s="12" t="inlineStr">
        <is>
          <t>Output VAT</t>
        </is>
      </c>
      <c r="C60" s="12" t="inlineStr">
        <is>
          <t>liability</t>
        </is>
      </c>
      <c r="D60" s="12" t="inlineStr">
        <is>
          <t>21700</t>
        </is>
      </c>
      <c r="E60" s="12" t="inlineStr">
        <is>
          <t>Existing PH control</t>
        </is>
      </c>
      <c r="F60" s="12" t="inlineStr">
        <is>
          <t>VAT</t>
        </is>
      </c>
      <c r="G60" s="12">
        <f>IF(F60="Always","CORE",IF(OR(AND(F60="INDIVIDUAL",Profile!$C$6="Individual"),AND(F60="PT",Profile!$C$7="Yes"),AND(F60="PAYROLL",Profile!$C$8="Yes"),AND(F60="IT",OR(Profile!$C$9="Yes",Profile!$G$6="Yes",Profile!$G$7="Yes",Profile!$G$10="Yes")),AND(F60="IT_OR_PAYROLL",OR(Profile!$C$8="Yes",OR(Profile!$C$9="Yes",Profile!$G$6="Yes",Profile!$G$7="Yes",Profile!$G$10="Yes"))),AND(F60="VAT",Profile!$G$8="Yes"),AND(F60="EWT",Profile!$G$9="Yes")),"SUGGESTED","OPTIONAL"))</f>
        <v/>
      </c>
      <c r="H60" s="12" t="inlineStr">
        <is>
          <t>VAT on taxable sales</t>
        </is>
      </c>
      <c r="I60" s="12" t="inlineStr">
        <is>
          <t>Not income or percentage tax</t>
        </is>
      </c>
    </row>
    <row r="61" ht="46" customHeight="1">
      <c r="A61" s="15" t="inlineStr">
        <is>
          <t>ph_output_vat_uncollected</t>
        </is>
      </c>
      <c r="B61" s="15" t="inlineStr">
        <is>
          <t>Output VAT - Uncollected Receivables</t>
        </is>
      </c>
      <c r="C61" s="15" t="inlineStr">
        <is>
          <t>liability</t>
        </is>
      </c>
      <c r="D61" s="15" t="inlineStr">
        <is>
          <t>21710</t>
        </is>
      </c>
      <c r="E61" s="15" t="inlineStr">
        <is>
          <t>Existing PH control</t>
        </is>
      </c>
      <c r="F61" s="15" t="inlineStr">
        <is>
          <t>VAT</t>
        </is>
      </c>
      <c r="G61" s="15">
        <f>IF(F61="Always","CORE",IF(OR(AND(F61="INDIVIDUAL",Profile!$C$6="Individual"),AND(F61="PT",Profile!$C$7="Yes"),AND(F61="PAYROLL",Profile!$C$8="Yes"),AND(F61="IT",OR(Profile!$C$9="Yes",Profile!$G$6="Yes",Profile!$G$7="Yes",Profile!$G$10="Yes")),AND(F61="IT_OR_PAYROLL",OR(Profile!$C$8="Yes",OR(Profile!$C$9="Yes",Profile!$G$6="Yes",Profile!$G$7="Yes",Profile!$G$10="Yes"))),AND(F61="VAT",Profile!$G$8="Yes"),AND(F61="EWT",Profile!$G$9="Yes")),"SUGGESTED","OPTIONAL"))</f>
        <v/>
      </c>
      <c r="H61" s="15" t="inlineStr">
        <is>
          <t>VAT on uncollected receivables</t>
        </is>
      </c>
      <c r="I61" s="15" t="inlineStr">
        <is>
          <t>Relief / add-back subject to conditions</t>
        </is>
      </c>
    </row>
    <row r="62" ht="46" customHeight="1">
      <c r="A62" s="12" t="inlineStr">
        <is>
          <t>ph_vat_payable_net</t>
        </is>
      </c>
      <c r="B62" s="12" t="inlineStr">
        <is>
          <t>VAT Payable - Net</t>
        </is>
      </c>
      <c r="C62" s="12" t="inlineStr">
        <is>
          <t>liability</t>
        </is>
      </c>
      <c r="D62" s="12" t="inlineStr">
        <is>
          <t>21750</t>
        </is>
      </c>
      <c r="E62" s="12" t="inlineStr">
        <is>
          <t>Existing PH control</t>
        </is>
      </c>
      <c r="F62" s="12" t="inlineStr">
        <is>
          <t>VAT</t>
        </is>
      </c>
      <c r="G62" s="12">
        <f>IF(F62="Always","CORE",IF(OR(AND(F62="INDIVIDUAL",Profile!$C$6="Individual"),AND(F62="PT",Profile!$C$7="Yes"),AND(F62="PAYROLL",Profile!$C$8="Yes"),AND(F62="IT",OR(Profile!$C$9="Yes",Profile!$G$6="Yes",Profile!$G$7="Yes",Profile!$G$10="Yes")),AND(F62="IT_OR_PAYROLL",OR(Profile!$C$8="Yes",OR(Profile!$C$9="Yes",Profile!$G$6="Yes",Profile!$G$7="Yes",Profile!$G$10="Yes"))),AND(F62="VAT",Profile!$G$8="Yes"),AND(F62="EWT",Profile!$G$9="Yes")),"SUGGESTED","OPTIONAL"))</f>
        <v/>
      </c>
      <c r="H62" s="12" t="inlineStr">
        <is>
          <t>Net VAT obligation</t>
        </is>
      </c>
      <c r="I62" s="12" t="inlineStr">
        <is>
          <t>2550Q details and reconciliations still required</t>
        </is>
      </c>
    </row>
    <row r="63" ht="46" customHeight="1">
      <c r="A63" s="15" t="inlineStr">
        <is>
          <t>ph_creditable_vat_withheld</t>
        </is>
      </c>
      <c r="B63" s="15" t="inlineStr">
        <is>
          <t>Creditable VAT Withheld</t>
        </is>
      </c>
      <c r="C63" s="15" t="inlineStr">
        <is>
          <t>asset</t>
        </is>
      </c>
      <c r="D63" s="15" t="inlineStr">
        <is>
          <t>12610</t>
        </is>
      </c>
      <c r="E63" s="15" t="inlineStr">
        <is>
          <t>Existing PH control</t>
        </is>
      </c>
      <c r="F63" s="15" t="inlineStr">
        <is>
          <t>VAT</t>
        </is>
      </c>
      <c r="G63" s="15">
        <f>IF(F63="Always","CORE",IF(OR(AND(F63="INDIVIDUAL",Profile!$C$6="Individual"),AND(F63="PT",Profile!$C$7="Yes"),AND(F63="PAYROLL",Profile!$C$8="Yes"),AND(F63="IT",OR(Profile!$C$9="Yes",Profile!$G$6="Yes",Profile!$G$7="Yes",Profile!$G$10="Yes")),AND(F63="IT_OR_PAYROLL",OR(Profile!$C$8="Yes",OR(Profile!$C$9="Yes",Profile!$G$6="Yes",Profile!$G$7="Yes",Profile!$G$10="Yes"))),AND(F63="VAT",Profile!$G$8="Yes"),AND(F63="EWT",Profile!$G$9="Yes")),"SUGGESTED","OPTIONAL"))</f>
        <v/>
      </c>
      <c r="H63" s="15" t="inlineStr">
        <is>
          <t>VAT withheld by eligible payors</t>
        </is>
      </c>
      <c r="I63" s="15" t="inlineStr">
        <is>
          <t>Separate from income and percentage tax credits</t>
        </is>
      </c>
    </row>
    <row r="64" ht="46" customHeight="1">
      <c r="A64" s="12" t="inlineStr">
        <is>
          <t>ph_input_vat_exempt_expense</t>
        </is>
      </c>
      <c r="B64" s="12" t="inlineStr">
        <is>
          <t>Input VAT Attributable to Exempt Sales</t>
        </is>
      </c>
      <c r="C64" s="12" t="inlineStr">
        <is>
          <t>expense</t>
        </is>
      </c>
      <c r="D64" s="12" t="inlineStr">
        <is>
          <t>68400</t>
        </is>
      </c>
      <c r="E64" s="12" t="inlineStr">
        <is>
          <t>Existing PH control</t>
        </is>
      </c>
      <c r="F64" s="12" t="inlineStr">
        <is>
          <t>VAT</t>
        </is>
      </c>
      <c r="G64" s="12">
        <f>IF(F64="Always","CORE",IF(OR(AND(F64="INDIVIDUAL",Profile!$C$6="Individual"),AND(F64="PT",Profile!$C$7="Yes"),AND(F64="PAYROLL",Profile!$C$8="Yes"),AND(F64="IT",OR(Profile!$C$9="Yes",Profile!$G$6="Yes",Profile!$G$7="Yes",Profile!$G$10="Yes")),AND(F64="IT_OR_PAYROLL",OR(Profile!$C$8="Yes",OR(Profile!$C$9="Yes",Profile!$G$6="Yes",Profile!$G$7="Yes",Profile!$G$10="Yes"))),AND(F64="VAT",Profile!$G$8="Yes"),AND(F64="EWT",Profile!$G$9="Yes")),"SUGGESTED","OPTIONAL"))</f>
        <v/>
      </c>
      <c r="H64" s="12" t="inlineStr">
        <is>
          <t>Input VAT not creditable because of exempt sales</t>
        </is>
      </c>
      <c r="I64" s="12" t="inlineStr">
        <is>
          <t>Allocation and deductibility require review</t>
        </is>
      </c>
    </row>
    <row r="65">
      <c r="A65" s="12" t="inlineStr">
        <is>
          <t>ph_employee_advances</t>
        </is>
      </c>
      <c r="B65" s="12" t="inlineStr">
        <is>
          <t>Employee Advances &amp; Receivables</t>
        </is>
      </c>
      <c r="C65" s="12" t="inlineStr">
        <is>
          <t>asset</t>
        </is>
      </c>
      <c r="D65" s="12" t="inlineStr">
        <is>
          <t>12700</t>
        </is>
      </c>
      <c r="E65" s="12" t="inlineStr">
        <is>
          <t>Existing PH control</t>
        </is>
      </c>
      <c r="F65" s="12" t="inlineStr">
        <is>
          <t>PAYROLL</t>
        </is>
      </c>
      <c r="G65" s="12">
        <f>IF(F65="Always","CORE",IF(OR(AND(F65="INDIVIDUAL",Profile!$C$6="Individual"),AND(F65="PT",Profile!$C$7="Yes"),AND(F65="PAYROLL",Profile!$C$8="Yes"),AND(F65="IT",OR(Profile!$C$9="Yes",Profile!$G$6="Yes",Profile!$G$7="Yes",Profile!$G$10="Yes")),AND(F65="IT_OR_PAYROLL",OR(Profile!$C$8="Yes",OR(Profile!$C$9="Yes",Profile!$G$6="Yes",Profile!$G$7="Yes",Profile!$G$10="Yes"))),AND(F65="VAT",Profile!$G$8="Yes"),AND(F65="EWT",Profile!$G$9="Yes")),"SUGGESTED","OPTIONAL"))</f>
        <v/>
      </c>
      <c r="H65" s="12" t="inlineStr">
        <is>
          <t>Employee advances and receivables</t>
        </is>
      </c>
      <c r="I65" s="12" t="inlineStr">
        <is>
          <t>Present in Books ph-chart.ts (stage 5b). Not in the catalog before correction 21.</t>
        </is>
      </c>
    </row>
    <row r="66">
      <c r="A66" s="12" t="inlineStr">
        <is>
          <t>ph_employee_tax_advanced</t>
        </is>
      </c>
      <c r="B66" s="12" t="inlineStr">
        <is>
          <t>Employee Receivable - Tax Advanced</t>
        </is>
      </c>
      <c r="C66" s="12" t="inlineStr">
        <is>
          <t>asset</t>
        </is>
      </c>
      <c r="D66" s="12" t="inlineStr">
        <is>
          <t>12800</t>
        </is>
      </c>
      <c r="E66" s="12" t="inlineStr">
        <is>
          <t>Existing PH control</t>
        </is>
      </c>
      <c r="F66" s="12" t="inlineStr">
        <is>
          <t>PAYROLL</t>
        </is>
      </c>
      <c r="G66" s="12">
        <f>IF(F66="Always","CORE",IF(OR(AND(F66="INDIVIDUAL",Profile!$C$6="Individual"),AND(F66="PT",Profile!$C$7="Yes"),AND(F66="PAYROLL",Profile!$C$8="Yes"),AND(F66="IT",OR(Profile!$C$9="Yes",Profile!$G$6="Yes",Profile!$G$7="Yes",Profile!$G$10="Yes")),AND(F66="IT_OR_PAYROLL",OR(Profile!$C$8="Yes",OR(Profile!$C$9="Yes",Profile!$G$6="Yes",Profile!$G$7="Yes",Profile!$G$10="Yes"))),AND(F66="VAT",Profile!$G$8="Yes"),AND(F66="EWT",Profile!$G$9="Yes")),"SUGGESTED","OPTIONAL"))</f>
        <v/>
      </c>
      <c r="H66" s="12" t="inlineStr">
        <is>
          <t>Employer-advanced tax recoverable from employees</t>
        </is>
      </c>
      <c r="I66" s="12" t="inlineStr">
        <is>
          <t>Referenced by Books annualization-posting.ts.</t>
        </is>
      </c>
    </row>
    <row r="67">
      <c r="A67" s="12" t="inlineStr">
        <is>
          <t>ph_unrecovered_employee_tax</t>
        </is>
      </c>
      <c r="B67" s="12" t="inlineStr">
        <is>
          <t>Unrecovered Employee Tax</t>
        </is>
      </c>
      <c r="C67" s="12" t="inlineStr">
        <is>
          <t>expense</t>
        </is>
      </c>
      <c r="D67" s="12" t="inlineStr">
        <is>
          <t>61950</t>
        </is>
      </c>
      <c r="E67" s="12" t="inlineStr">
        <is>
          <t>Existing PH control</t>
        </is>
      </c>
      <c r="F67" s="12" t="inlineStr">
        <is>
          <t>PAYROLL</t>
        </is>
      </c>
      <c r="G67" s="12">
        <f>IF(F67="Always","CORE",IF(OR(AND(F67="INDIVIDUAL",Profile!$C$6="Individual"),AND(F67="PT",Profile!$C$7="Yes"),AND(F67="PAYROLL",Profile!$C$8="Yes"),AND(F67="IT",OR(Profile!$C$9="Yes",Profile!$G$6="Yes",Profile!$G$7="Yes",Profile!$G$10="Yes")),AND(F67="IT_OR_PAYROLL",OR(Profile!$C$8="Yes",OR(Profile!$C$9="Yes",Profile!$G$6="Yes",Profile!$G$7="Yes",Profile!$G$10="Yes"))),AND(F67="VAT",Profile!$G$8="Yes"),AND(F67="EWT",Profile!$G$9="Yes")),"SUGGESTED","OPTIONAL"))</f>
        <v/>
      </c>
      <c r="H67" s="12" t="inlineStr">
        <is>
          <t>Employer-borne tax not recovered from employees</t>
        </is>
      </c>
      <c r="I67" s="12" t="inlineStr">
        <is>
          <t>Matters for 1601-C reconciliation. Referenced by annualization-posting.ts.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7" customWidth="1" min="2" max="2"/>
    <col width="19" customWidth="1" min="3" max="3"/>
    <col width="33" customWidth="1" min="4" max="4"/>
    <col width="17" customWidth="1" min="5" max="5"/>
    <col width="55" customWidth="1" min="6" max="6"/>
    <col width="60" customWidth="1" min="7" max="7"/>
  </cols>
  <sheetData>
    <row r="1" ht="24" customHeight="1">
      <c r="A1" s="1" t="inlineStr">
        <is>
          <t>Category to form-field rules</t>
        </is>
      </c>
    </row>
    <row r="2" ht="24" customHeight="1">
      <c r="A2" s="2" t="inlineStr">
        <is>
          <t>This is the many-to-many mapping layer. “Reconcile” rows are control checks, not instructions to sum the account into the field.</t>
        </is>
      </c>
    </row>
    <row r="3" ht="24" customHeight="1">
      <c r="A3" s="3" t="inlineStr">
        <is>
          <t>Period, payer, tax type, eligibility and form version are part of every rule. Official sources S1–S4.</t>
        </is>
      </c>
    </row>
    <row r="5" ht="32" customHeight="1">
      <c r="A5" s="14" t="inlineStr">
        <is>
          <t>Category key</t>
        </is>
      </c>
      <c r="B5" s="14" t="inlineStr">
        <is>
          <t>Form</t>
        </is>
      </c>
      <c r="C5" s="14" t="inlineStr">
        <is>
          <t>Target field</t>
        </is>
      </c>
      <c r="D5" s="14" t="inlineStr">
        <is>
          <t>Mapping method</t>
        </is>
      </c>
      <c r="E5" s="14" t="inlineStr">
        <is>
          <t>Period</t>
        </is>
      </c>
      <c r="F5" s="14" t="inlineStr">
        <is>
          <t>Required filter / dimension</t>
        </is>
      </c>
      <c r="G5" s="14" t="inlineStr">
        <is>
          <t>Review or exclusion</t>
        </is>
      </c>
    </row>
    <row r="6" ht="46" customHeight="1">
      <c r="A6" s="12" t="inlineStr">
        <is>
          <t>sales_revenue</t>
        </is>
      </c>
      <c r="B6" s="12" t="inlineStr">
        <is>
          <t>2551Q</t>
        </is>
      </c>
      <c r="C6" s="12" t="inlineStr">
        <is>
          <t>S1.1.base</t>
        </is>
      </c>
      <c r="D6" s="12" t="inlineStr">
        <is>
          <t>Aggregate tax-tagged revenue</t>
        </is>
      </c>
      <c r="E6" s="12" t="inlineStr">
        <is>
          <t>Quarter</t>
        </is>
      </c>
      <c r="F6" s="12" t="inlineStr">
        <is>
          <t>PT010 eligible sales, applicable recognition date</t>
        </is>
      </c>
      <c r="G6" s="12" t="inlineStr">
        <is>
          <t>Other ATCs require their own schedule row</t>
        </is>
      </c>
    </row>
    <row r="7" ht="46" customHeight="1">
      <c r="A7" s="15" t="inlineStr">
        <is>
          <t>sales_revenue</t>
        </is>
      </c>
      <c r="B7" s="15" t="inlineStr">
        <is>
          <t>1701-MS</t>
        </is>
      </c>
      <c r="C7" s="15" t="inlineStr">
        <is>
          <t>IV.5</t>
        </is>
      </c>
      <c r="D7" s="15" t="inlineStr">
        <is>
          <t>Aggregate income-eligible gross sales</t>
        </is>
      </c>
      <c r="E7" s="15" t="inlineStr">
        <is>
          <t>Year</t>
        </is>
      </c>
      <c r="F7" s="15" t="inlineStr">
        <is>
          <t>Filer, non-final income, exclude VAT</t>
        </is>
      </c>
      <c r="G7" s="15" t="inlineStr">
        <is>
          <t>Use leaf accounts; do not also sum parent</t>
        </is>
      </c>
    </row>
    <row r="8" ht="46" customHeight="1">
      <c r="A8" s="12" t="inlineStr">
        <is>
          <t>sales_revenue</t>
        </is>
      </c>
      <c r="B8" s="12" t="inlineStr">
        <is>
          <t>1701-MS</t>
        </is>
      </c>
      <c r="C8" s="12" t="inlineStr">
        <is>
          <t>IV.19</t>
        </is>
      </c>
      <c r="D8" s="12" t="inlineStr">
        <is>
          <t>Aggregate eligible net sales</t>
        </is>
      </c>
      <c r="E8" s="12" t="inlineStr">
        <is>
          <t>Year</t>
        </is>
      </c>
      <c r="F8" s="12" t="inlineStr">
        <is>
          <t>8% pathway only; subtract eligible returns</t>
        </is>
      </c>
      <c r="G8" s="12" t="inlineStr">
        <is>
          <t>Do not use gross bank deposits</t>
        </is>
      </c>
    </row>
    <row r="9" ht="46" customHeight="1">
      <c r="A9" s="15" t="inlineStr">
        <is>
          <t>subscription_revenue</t>
        </is>
      </c>
      <c r="B9" s="15" t="inlineStr">
        <is>
          <t>2551Q</t>
        </is>
      </c>
      <c r="C9" s="15" t="inlineStr">
        <is>
          <t>S1.1.base</t>
        </is>
      </c>
      <c r="D9" s="15" t="inlineStr">
        <is>
          <t>Aggregate tax-tagged revenue</t>
        </is>
      </c>
      <c r="E9" s="15" t="inlineStr">
        <is>
          <t>Quarter</t>
        </is>
      </c>
      <c r="F9" s="15" t="inlineStr">
        <is>
          <t>PT010 eligible sales, applicable recognition date</t>
        </is>
      </c>
      <c r="G9" s="15" t="inlineStr">
        <is>
          <t>Other ATCs require their own schedule row</t>
        </is>
      </c>
    </row>
    <row r="10" ht="46" customHeight="1">
      <c r="A10" s="12" t="inlineStr">
        <is>
          <t>subscription_revenue</t>
        </is>
      </c>
      <c r="B10" s="12" t="inlineStr">
        <is>
          <t>1701-MS</t>
        </is>
      </c>
      <c r="C10" s="12" t="inlineStr">
        <is>
          <t>IV.5</t>
        </is>
      </c>
      <c r="D10" s="12" t="inlineStr">
        <is>
          <t>Aggregate income-eligible gross sales</t>
        </is>
      </c>
      <c r="E10" s="12" t="inlineStr">
        <is>
          <t>Year</t>
        </is>
      </c>
      <c r="F10" s="12" t="inlineStr">
        <is>
          <t>Filer, non-final income, exclude VAT</t>
        </is>
      </c>
      <c r="G10" s="12" t="inlineStr">
        <is>
          <t>Use leaf accounts; do not also sum parent</t>
        </is>
      </c>
    </row>
    <row r="11" ht="46" customHeight="1">
      <c r="A11" s="15" t="inlineStr">
        <is>
          <t>subscription_revenue</t>
        </is>
      </c>
      <c r="B11" s="15" t="inlineStr">
        <is>
          <t>1701-MS</t>
        </is>
      </c>
      <c r="C11" s="15" t="inlineStr">
        <is>
          <t>IV.19</t>
        </is>
      </c>
      <c r="D11" s="15" t="inlineStr">
        <is>
          <t>Aggregate eligible net sales</t>
        </is>
      </c>
      <c r="E11" s="15" t="inlineStr">
        <is>
          <t>Year</t>
        </is>
      </c>
      <c r="F11" s="15" t="inlineStr">
        <is>
          <t>8% pathway only; subtract eligible returns</t>
        </is>
      </c>
      <c r="G11" s="15" t="inlineStr">
        <is>
          <t>Do not use gross bank deposits</t>
        </is>
      </c>
    </row>
    <row r="12" ht="46" customHeight="1">
      <c r="A12" s="12" t="inlineStr">
        <is>
          <t>transaction_revenue</t>
        </is>
      </c>
      <c r="B12" s="12" t="inlineStr">
        <is>
          <t>2551Q</t>
        </is>
      </c>
      <c r="C12" s="12" t="inlineStr">
        <is>
          <t>S1.1.base</t>
        </is>
      </c>
      <c r="D12" s="12" t="inlineStr">
        <is>
          <t>Aggregate tax-tagged revenue</t>
        </is>
      </c>
      <c r="E12" s="12" t="inlineStr">
        <is>
          <t>Quarter</t>
        </is>
      </c>
      <c r="F12" s="12" t="inlineStr">
        <is>
          <t>PT010 eligible sales, applicable recognition date</t>
        </is>
      </c>
      <c r="G12" s="12" t="inlineStr">
        <is>
          <t>Other ATCs require their own schedule row</t>
        </is>
      </c>
    </row>
    <row r="13" ht="46" customHeight="1">
      <c r="A13" s="15" t="inlineStr">
        <is>
          <t>transaction_revenue</t>
        </is>
      </c>
      <c r="B13" s="15" t="inlineStr">
        <is>
          <t>1701-MS</t>
        </is>
      </c>
      <c r="C13" s="15" t="inlineStr">
        <is>
          <t>IV.5</t>
        </is>
      </c>
      <c r="D13" s="15" t="inlineStr">
        <is>
          <t>Aggregate income-eligible gross sales</t>
        </is>
      </c>
      <c r="E13" s="15" t="inlineStr">
        <is>
          <t>Year</t>
        </is>
      </c>
      <c r="F13" s="15" t="inlineStr">
        <is>
          <t>Filer, non-final income, exclude VAT</t>
        </is>
      </c>
      <c r="G13" s="15" t="inlineStr">
        <is>
          <t>Use leaf accounts; do not also sum parent</t>
        </is>
      </c>
    </row>
    <row r="14" ht="46" customHeight="1">
      <c r="A14" s="12" t="inlineStr">
        <is>
          <t>transaction_revenue</t>
        </is>
      </c>
      <c r="B14" s="12" t="inlineStr">
        <is>
          <t>1701-MS</t>
        </is>
      </c>
      <c r="C14" s="12" t="inlineStr">
        <is>
          <t>IV.19</t>
        </is>
      </c>
      <c r="D14" s="12" t="inlineStr">
        <is>
          <t>Aggregate eligible net sales</t>
        </is>
      </c>
      <c r="E14" s="12" t="inlineStr">
        <is>
          <t>Year</t>
        </is>
      </c>
      <c r="F14" s="12" t="inlineStr">
        <is>
          <t>8% pathway only; subtract eligible returns</t>
        </is>
      </c>
      <c r="G14" s="12" t="inlineStr">
        <is>
          <t>Do not use gross bank deposits</t>
        </is>
      </c>
    </row>
    <row r="15" ht="46" customHeight="1">
      <c r="A15" s="15" t="inlineStr">
        <is>
          <t>refunds_and_discounts</t>
        </is>
      </c>
      <c r="B15" s="15" t="inlineStr">
        <is>
          <t>2551Q</t>
        </is>
      </c>
      <c r="C15" s="15" t="inlineStr">
        <is>
          <t>S1.1.base</t>
        </is>
      </c>
      <c r="D15" s="15" t="inlineStr">
        <is>
          <t>Subtract eligible sales adjustments</t>
        </is>
      </c>
      <c r="E15" s="15" t="inlineStr">
        <is>
          <t>Quarter</t>
        </is>
      </c>
      <c r="F15" s="15" t="inlineStr">
        <is>
          <t>PT010 adjustment to covered sale</t>
        </is>
      </c>
      <c r="G15" s="15" t="inlineStr">
        <is>
          <t>Confirm recognition and credit note</t>
        </is>
      </c>
    </row>
    <row r="16" ht="46" customHeight="1">
      <c r="A16" s="12" t="inlineStr">
        <is>
          <t>refunds_and_discounts</t>
        </is>
      </c>
      <c r="B16" s="12" t="inlineStr">
        <is>
          <t>1701-MS</t>
        </is>
      </c>
      <c r="C16" s="12" t="inlineStr">
        <is>
          <t>IV.6</t>
        </is>
      </c>
      <c r="D16" s="12" t="inlineStr">
        <is>
          <t>Sum eligible contra sales</t>
        </is>
      </c>
      <c r="E16" s="12" t="inlineStr">
        <is>
          <t>Year</t>
        </is>
      </c>
      <c r="F16" s="12" t="inlineStr">
        <is>
          <t>Graduated/special pathway</t>
        </is>
      </c>
      <c r="G16" s="12" t="inlineStr">
        <is>
          <t>Do not treat as unrelated expense</t>
        </is>
      </c>
    </row>
    <row r="17" ht="46" customHeight="1">
      <c r="A17" s="15" t="inlineStr">
        <is>
          <t>refunds_and_discounts</t>
        </is>
      </c>
      <c r="B17" s="15" t="inlineStr">
        <is>
          <t>1701-MS</t>
        </is>
      </c>
      <c r="C17" s="15" t="inlineStr">
        <is>
          <t>IV.19</t>
        </is>
      </c>
      <c r="D17" s="15" t="inlineStr">
        <is>
          <t>Subtract eligible contra sales</t>
        </is>
      </c>
      <c r="E17" s="15" t="inlineStr">
        <is>
          <t>Year</t>
        </is>
      </c>
      <c r="F17" s="15" t="inlineStr">
        <is>
          <t>8% pathway</t>
        </is>
      </c>
      <c r="G17" s="15" t="inlineStr">
        <is>
          <t>Same adjustment must not be counted twice</t>
        </is>
      </c>
    </row>
    <row r="18" ht="46" customHeight="1">
      <c r="A18" s="12" t="inlineStr">
        <is>
          <t>other_non_operating_income</t>
        </is>
      </c>
      <c r="B18" s="12" t="inlineStr">
        <is>
          <t>1701-MS</t>
        </is>
      </c>
      <c r="C18" s="12" t="inlineStr">
        <is>
          <t>IV.13</t>
        </is>
      </c>
      <c r="D18" s="12" t="inlineStr">
        <is>
          <t>Aggregate eligible other income</t>
        </is>
      </c>
      <c r="E18" s="12" t="inlineStr">
        <is>
          <t>Year</t>
        </is>
      </c>
      <c r="F18" s="12" t="inlineStr">
        <is>
          <t>Graduated / special pathway</t>
        </is>
      </c>
      <c r="G18" s="12" t="inlineStr">
        <is>
          <t>Final-tax income requires separate treatment</t>
        </is>
      </c>
    </row>
    <row r="19" ht="46" customHeight="1">
      <c r="A19" s="15" t="inlineStr">
        <is>
          <t>other_non_operating_income</t>
        </is>
      </c>
      <c r="B19" s="15" t="inlineStr">
        <is>
          <t>1701-MS</t>
        </is>
      </c>
      <c r="C19" s="15" t="inlineStr">
        <is>
          <t>IV.20</t>
        </is>
      </c>
      <c r="D19" s="15" t="inlineStr">
        <is>
          <t>Aggregate eligible other income</t>
        </is>
      </c>
      <c r="E19" s="15" t="inlineStr">
        <is>
          <t>Year</t>
        </is>
      </c>
      <c r="F19" s="15" t="inlineStr">
        <is>
          <t>8% pathway and eligibility test</t>
        </is>
      </c>
      <c r="G19" s="15" t="inlineStr">
        <is>
          <t>Exclude final-tax income when applicable</t>
        </is>
      </c>
    </row>
    <row r="20" ht="46" customHeight="1">
      <c r="A20" s="12" t="inlineStr">
        <is>
          <t>interest_income</t>
        </is>
      </c>
      <c r="B20" s="12" t="inlineStr">
        <is>
          <t>1701-MS</t>
        </is>
      </c>
      <c r="C20" s="12" t="inlineStr">
        <is>
          <t>IV.13</t>
        </is>
      </c>
      <c r="D20" s="12" t="inlineStr">
        <is>
          <t>Aggregate eligible other income</t>
        </is>
      </c>
      <c r="E20" s="12" t="inlineStr">
        <is>
          <t>Year</t>
        </is>
      </c>
      <c r="F20" s="12" t="inlineStr">
        <is>
          <t>Graduated / special pathway</t>
        </is>
      </c>
      <c r="G20" s="12" t="inlineStr">
        <is>
          <t>Final-tax income requires separate treatment</t>
        </is>
      </c>
    </row>
    <row r="21" ht="46" customHeight="1">
      <c r="A21" s="15" t="inlineStr">
        <is>
          <t>interest_income</t>
        </is>
      </c>
      <c r="B21" s="15" t="inlineStr">
        <is>
          <t>1701-MS</t>
        </is>
      </c>
      <c r="C21" s="15" t="inlineStr">
        <is>
          <t>IV.20</t>
        </is>
      </c>
      <c r="D21" s="15" t="inlineStr">
        <is>
          <t>Aggregate eligible other income</t>
        </is>
      </c>
      <c r="E21" s="15" t="inlineStr">
        <is>
          <t>Year</t>
        </is>
      </c>
      <c r="F21" s="15" t="inlineStr">
        <is>
          <t>8% pathway and eligibility test</t>
        </is>
      </c>
      <c r="G21" s="15" t="inlineStr">
        <is>
          <t>Exclude final-tax income when applicable</t>
        </is>
      </c>
    </row>
    <row r="22" ht="46" customHeight="1">
      <c r="A22" s="12" t="inlineStr">
        <is>
          <t>cost_of_goods_sold</t>
        </is>
      </c>
      <c r="B22" s="12" t="inlineStr">
        <is>
          <t>1701-MS</t>
        </is>
      </c>
      <c r="C22" s="12" t="inlineStr">
        <is>
          <t>IV.8</t>
        </is>
      </c>
      <c r="D22" s="12" t="inlineStr">
        <is>
          <t>Sum allowable cost</t>
        </is>
      </c>
      <c r="E22" s="12" t="inlineStr">
        <is>
          <t>Year</t>
        </is>
      </c>
      <c r="F22" s="12" t="inlineStr">
        <is>
          <t>Itemized deduction method</t>
        </is>
      </c>
      <c r="G22" s="12" t="inlineStr">
        <is>
          <t>OSD and 8% do not separately deduct this cost</t>
        </is>
      </c>
    </row>
    <row r="23" ht="46" customHeight="1">
      <c r="A23" s="15" t="inlineStr">
        <is>
          <t>direct_service_cost</t>
        </is>
      </c>
      <c r="B23" s="15" t="inlineStr">
        <is>
          <t>1701-MS</t>
        </is>
      </c>
      <c r="C23" s="15" t="inlineStr">
        <is>
          <t>IV.8</t>
        </is>
      </c>
      <c r="D23" s="15" t="inlineStr">
        <is>
          <t>Sum allowable cost</t>
        </is>
      </c>
      <c r="E23" s="15" t="inlineStr">
        <is>
          <t>Year</t>
        </is>
      </c>
      <c r="F23" s="15" t="inlineStr">
        <is>
          <t>Itemized deduction method</t>
        </is>
      </c>
      <c r="G23" s="15" t="inlineStr">
        <is>
          <t>OSD and 8% do not separately deduct this cost</t>
        </is>
      </c>
    </row>
    <row r="24" ht="46" customHeight="1">
      <c r="A24" s="12" t="inlineStr">
        <is>
          <t>salaries</t>
        </is>
      </c>
      <c r="B24" s="12" t="inlineStr">
        <is>
          <t>1701-MS</t>
        </is>
      </c>
      <c r="C24" s="12" t="inlineStr">
        <is>
          <t>IV.10A</t>
        </is>
      </c>
      <c r="D24" s="12" t="inlineStr">
        <is>
          <t>Sum tax-eligible expenses</t>
        </is>
      </c>
      <c r="E24" s="12" t="inlineStr">
        <is>
          <t>Year</t>
        </is>
      </c>
      <c r="F24" s="12" t="inlineStr">
        <is>
          <t>Itemized method + deductible amount + substantiation</t>
        </is>
      </c>
      <c r="G24" s="12" t="inlineStr">
        <is>
          <t>Not every book expense is deductible; avoid cost-of-sales duplication</t>
        </is>
      </c>
    </row>
    <row r="25" ht="46" customHeight="1">
      <c r="A25" s="15" t="inlineStr">
        <is>
          <t>employee_benefits</t>
        </is>
      </c>
      <c r="B25" s="15" t="inlineStr">
        <is>
          <t>1701-MS</t>
        </is>
      </c>
      <c r="C25" s="15" t="inlineStr">
        <is>
          <t>IV.10A</t>
        </is>
      </c>
      <c r="D25" s="15" t="inlineStr">
        <is>
          <t>Sum tax-eligible expenses</t>
        </is>
      </c>
      <c r="E25" s="15" t="inlineStr">
        <is>
          <t>Year</t>
        </is>
      </c>
      <c r="F25" s="15" t="inlineStr">
        <is>
          <t>Itemized method + deductible amount + substantiation</t>
        </is>
      </c>
      <c r="G25" s="15" t="inlineStr">
        <is>
          <t>Not every book expense is deductible; avoid cost-of-sales duplication</t>
        </is>
      </c>
    </row>
    <row r="26" ht="46" customHeight="1">
      <c r="A26" s="12" t="inlineStr">
        <is>
          <t>retirement_contributions</t>
        </is>
      </c>
      <c r="B26" s="12" t="inlineStr">
        <is>
          <t>1701-MS</t>
        </is>
      </c>
      <c r="C26" s="12" t="inlineStr">
        <is>
          <t>IV.10A</t>
        </is>
      </c>
      <c r="D26" s="12" t="inlineStr">
        <is>
          <t>Sum tax-eligible expenses</t>
        </is>
      </c>
      <c r="E26" s="12" t="inlineStr">
        <is>
          <t>Year</t>
        </is>
      </c>
      <c r="F26" s="12" t="inlineStr">
        <is>
          <t>Itemized method + deductible amount + substantiation</t>
        </is>
      </c>
      <c r="G26" s="12" t="inlineStr">
        <is>
          <t>Not every book expense is deductible; avoid cost-of-sales duplication</t>
        </is>
      </c>
    </row>
    <row r="27" ht="46" customHeight="1">
      <c r="A27" s="15" t="inlineStr">
        <is>
          <t>employer_payroll_taxes</t>
        </is>
      </c>
      <c r="B27" s="15" t="inlineStr">
        <is>
          <t>1701-MS</t>
        </is>
      </c>
      <c r="C27" s="15" t="inlineStr">
        <is>
          <t>IV.10A</t>
        </is>
      </c>
      <c r="D27" s="15" t="inlineStr">
        <is>
          <t>Sum tax-eligible expenses</t>
        </is>
      </c>
      <c r="E27" s="15" t="inlineStr">
        <is>
          <t>Year</t>
        </is>
      </c>
      <c r="F27" s="15" t="inlineStr">
        <is>
          <t>Itemized method + deductible amount + substantiation</t>
        </is>
      </c>
      <c r="G27" s="15" t="inlineStr">
        <is>
          <t>Not every book expense is deductible; avoid cost-of-sales duplication</t>
        </is>
      </c>
    </row>
    <row r="28" ht="46" customHeight="1">
      <c r="A28" s="12" t="inlineStr">
        <is>
          <t>payroll_processing_fees</t>
        </is>
      </c>
      <c r="B28" s="12" t="inlineStr">
        <is>
          <t>1701-MS</t>
        </is>
      </c>
      <c r="C28" s="12" t="inlineStr">
        <is>
          <t>IV.10A</t>
        </is>
      </c>
      <c r="D28" s="12" t="inlineStr">
        <is>
          <t>Sum tax-eligible expenses</t>
        </is>
      </c>
      <c r="E28" s="12" t="inlineStr">
        <is>
          <t>Year</t>
        </is>
      </c>
      <c r="F28" s="12" t="inlineStr">
        <is>
          <t>Itemized method + deductible amount + substantiation</t>
        </is>
      </c>
      <c r="G28" s="12" t="inlineStr">
        <is>
          <t>Not every book expense is deductible; avoid cost-of-sales duplication</t>
        </is>
      </c>
    </row>
    <row r="29" ht="46" customHeight="1">
      <c r="A29" s="15" t="inlineStr">
        <is>
          <t>consultants_and_contractors</t>
        </is>
      </c>
      <c r="B29" s="15" t="inlineStr">
        <is>
          <t>1701-MS</t>
        </is>
      </c>
      <c r="C29" s="15" t="inlineStr">
        <is>
          <t>IV.10A</t>
        </is>
      </c>
      <c r="D29" s="15" t="inlineStr">
        <is>
          <t>Sum tax-eligible expenses</t>
        </is>
      </c>
      <c r="E29" s="15" t="inlineStr">
        <is>
          <t>Year</t>
        </is>
      </c>
      <c r="F29" s="15" t="inlineStr">
        <is>
          <t>Itemized method + deductible amount + substantiation</t>
        </is>
      </c>
      <c r="G29" s="15" t="inlineStr">
        <is>
          <t>Not every book expense is deductible; avoid cost-of-sales duplication</t>
        </is>
      </c>
    </row>
    <row r="30" ht="46" customHeight="1">
      <c r="A30" s="12" t="inlineStr">
        <is>
          <t>legal</t>
        </is>
      </c>
      <c r="B30" s="12" t="inlineStr">
        <is>
          <t>1701-MS</t>
        </is>
      </c>
      <c r="C30" s="12" t="inlineStr">
        <is>
          <t>IV.10A</t>
        </is>
      </c>
      <c r="D30" s="12" t="inlineStr">
        <is>
          <t>Sum tax-eligible expenses</t>
        </is>
      </c>
      <c r="E30" s="12" t="inlineStr">
        <is>
          <t>Year</t>
        </is>
      </c>
      <c r="F30" s="12" t="inlineStr">
        <is>
          <t>Itemized method + deductible amount + substantiation</t>
        </is>
      </c>
      <c r="G30" s="12" t="inlineStr">
        <is>
          <t>Not every book expense is deductible; avoid cost-of-sales duplication</t>
        </is>
      </c>
    </row>
    <row r="31" ht="46" customHeight="1">
      <c r="A31" s="15" t="inlineStr">
        <is>
          <t>tax_and_accounting</t>
        </is>
      </c>
      <c r="B31" s="15" t="inlineStr">
        <is>
          <t>1701-MS</t>
        </is>
      </c>
      <c r="C31" s="15" t="inlineStr">
        <is>
          <t>IV.10A</t>
        </is>
      </c>
      <c r="D31" s="15" t="inlineStr">
        <is>
          <t>Sum tax-eligible expenses</t>
        </is>
      </c>
      <c r="E31" s="15" t="inlineStr">
        <is>
          <t>Year</t>
        </is>
      </c>
      <c r="F31" s="15" t="inlineStr">
        <is>
          <t>Itemized method + deductible amount + substantiation</t>
        </is>
      </c>
      <c r="G31" s="15" t="inlineStr">
        <is>
          <t>Not every book expense is deductible; avoid cost-of-sales duplication</t>
        </is>
      </c>
    </row>
    <row r="32" ht="46" customHeight="1">
      <c r="A32" s="12" t="inlineStr">
        <is>
          <t>advertising</t>
        </is>
      </c>
      <c r="B32" s="12" t="inlineStr">
        <is>
          <t>1701-MS</t>
        </is>
      </c>
      <c r="C32" s="12" t="inlineStr">
        <is>
          <t>IV.10A</t>
        </is>
      </c>
      <c r="D32" s="12" t="inlineStr">
        <is>
          <t>Sum tax-eligible expenses</t>
        </is>
      </c>
      <c r="E32" s="12" t="inlineStr">
        <is>
          <t>Year</t>
        </is>
      </c>
      <c r="F32" s="12" t="inlineStr">
        <is>
          <t>Itemized method + deductible amount + substantiation</t>
        </is>
      </c>
      <c r="G32" s="12" t="inlineStr">
        <is>
          <t>Not every book expense is deductible; avoid cost-of-sales duplication</t>
        </is>
      </c>
    </row>
    <row r="33" ht="46" customHeight="1">
      <c r="A33" s="15" t="inlineStr">
        <is>
          <t>business_applications_and_software</t>
        </is>
      </c>
      <c r="B33" s="15" t="inlineStr">
        <is>
          <t>1701-MS</t>
        </is>
      </c>
      <c r="C33" s="15" t="inlineStr">
        <is>
          <t>IV.10A</t>
        </is>
      </c>
      <c r="D33" s="15" t="inlineStr">
        <is>
          <t>Sum tax-eligible expenses</t>
        </is>
      </c>
      <c r="E33" s="15" t="inlineStr">
        <is>
          <t>Year</t>
        </is>
      </c>
      <c r="F33" s="15" t="inlineStr">
        <is>
          <t>Itemized method + deductible amount + substantiation</t>
        </is>
      </c>
      <c r="G33" s="15" t="inlineStr">
        <is>
          <t>Not every book expense is deductible; avoid cost-of-sales duplication</t>
        </is>
      </c>
    </row>
    <row r="34" ht="46" customHeight="1">
      <c r="A34" s="12" t="inlineStr">
        <is>
          <t>rent</t>
        </is>
      </c>
      <c r="B34" s="12" t="inlineStr">
        <is>
          <t>1701-MS</t>
        </is>
      </c>
      <c r="C34" s="12" t="inlineStr">
        <is>
          <t>IV.10A</t>
        </is>
      </c>
      <c r="D34" s="12" t="inlineStr">
        <is>
          <t>Sum tax-eligible expenses</t>
        </is>
      </c>
      <c r="E34" s="12" t="inlineStr">
        <is>
          <t>Year</t>
        </is>
      </c>
      <c r="F34" s="12" t="inlineStr">
        <is>
          <t>Itemized method + deductible amount + substantiation</t>
        </is>
      </c>
      <c r="G34" s="12" t="inlineStr">
        <is>
          <t>Not every book expense is deductible; avoid cost-of-sales duplication</t>
        </is>
      </c>
    </row>
    <row r="35" ht="46" customHeight="1">
      <c r="A35" s="15" t="inlineStr">
        <is>
          <t>utilities</t>
        </is>
      </c>
      <c r="B35" s="15" t="inlineStr">
        <is>
          <t>1701-MS</t>
        </is>
      </c>
      <c r="C35" s="15" t="inlineStr">
        <is>
          <t>IV.10A</t>
        </is>
      </c>
      <c r="D35" s="15" t="inlineStr">
        <is>
          <t>Sum tax-eligible expenses</t>
        </is>
      </c>
      <c r="E35" s="15" t="inlineStr">
        <is>
          <t>Year</t>
        </is>
      </c>
      <c r="F35" s="15" t="inlineStr">
        <is>
          <t>Itemized method + deductible amount + substantiation</t>
        </is>
      </c>
      <c r="G35" s="15" t="inlineStr">
        <is>
          <t>Not every book expense is deductible; avoid cost-of-sales duplication</t>
        </is>
      </c>
    </row>
    <row r="36" ht="46" customHeight="1">
      <c r="A36" s="12" t="inlineStr">
        <is>
          <t>repairs_and_maintenance</t>
        </is>
      </c>
      <c r="B36" s="12" t="inlineStr">
        <is>
          <t>1701-MS</t>
        </is>
      </c>
      <c r="C36" s="12" t="inlineStr">
        <is>
          <t>IV.10A</t>
        </is>
      </c>
      <c r="D36" s="12" t="inlineStr">
        <is>
          <t>Sum tax-eligible expenses</t>
        </is>
      </c>
      <c r="E36" s="12" t="inlineStr">
        <is>
          <t>Year</t>
        </is>
      </c>
      <c r="F36" s="12" t="inlineStr">
        <is>
          <t>Itemized method + deductible amount + substantiation</t>
        </is>
      </c>
      <c r="G36" s="12" t="inlineStr">
        <is>
          <t>Not every book expense is deductible; avoid cost-of-sales duplication</t>
        </is>
      </c>
    </row>
    <row r="37" ht="46" customHeight="1">
      <c r="A37" s="15" t="inlineStr">
        <is>
          <t>office_supplies</t>
        </is>
      </c>
      <c r="B37" s="15" t="inlineStr">
        <is>
          <t>1701-MS</t>
        </is>
      </c>
      <c r="C37" s="15" t="inlineStr">
        <is>
          <t>IV.10A</t>
        </is>
      </c>
      <c r="D37" s="15" t="inlineStr">
        <is>
          <t>Sum tax-eligible expenses</t>
        </is>
      </c>
      <c r="E37" s="15" t="inlineStr">
        <is>
          <t>Year</t>
        </is>
      </c>
      <c r="F37" s="15" t="inlineStr">
        <is>
          <t>Itemized method + deductible amount + substantiation</t>
        </is>
      </c>
      <c r="G37" s="15" t="inlineStr">
        <is>
          <t>Not every book expense is deductible; avoid cost-of-sales duplication</t>
        </is>
      </c>
    </row>
    <row r="38" ht="46" customHeight="1">
      <c r="A38" s="12" t="inlineStr">
        <is>
          <t>airfare</t>
        </is>
      </c>
      <c r="B38" s="12" t="inlineStr">
        <is>
          <t>1701-MS</t>
        </is>
      </c>
      <c r="C38" s="12" t="inlineStr">
        <is>
          <t>IV.10A</t>
        </is>
      </c>
      <c r="D38" s="12" t="inlineStr">
        <is>
          <t>Sum tax-eligible expenses</t>
        </is>
      </c>
      <c r="E38" s="12" t="inlineStr">
        <is>
          <t>Year</t>
        </is>
      </c>
      <c r="F38" s="12" t="inlineStr">
        <is>
          <t>Itemized method + deductible amount + substantiation</t>
        </is>
      </c>
      <c r="G38" s="12" t="inlineStr">
        <is>
          <t>Not every book expense is deductible; avoid cost-of-sales duplication</t>
        </is>
      </c>
    </row>
    <row r="39" ht="46" customHeight="1">
      <c r="A39" s="15" t="inlineStr">
        <is>
          <t>meals</t>
        </is>
      </c>
      <c r="B39" s="15" t="inlineStr">
        <is>
          <t>1701-MS</t>
        </is>
      </c>
      <c r="C39" s="15" t="inlineStr">
        <is>
          <t>IV.10A</t>
        </is>
      </c>
      <c r="D39" s="15" t="inlineStr">
        <is>
          <t>Sum tax-eligible expenses</t>
        </is>
      </c>
      <c r="E39" s="15" t="inlineStr">
        <is>
          <t>Year</t>
        </is>
      </c>
      <c r="F39" s="15" t="inlineStr">
        <is>
          <t>Itemized method + deductible amount + substantiation</t>
        </is>
      </c>
      <c r="G39" s="15" t="inlineStr">
        <is>
          <t>Not every book expense is deductible; avoid cost-of-sales duplication</t>
        </is>
      </c>
    </row>
    <row r="40" ht="46" customHeight="1">
      <c r="A40" s="12" t="inlineStr">
        <is>
          <t>bank_fees</t>
        </is>
      </c>
      <c r="B40" s="12" t="inlineStr">
        <is>
          <t>1701-MS</t>
        </is>
      </c>
      <c r="C40" s="12" t="inlineStr">
        <is>
          <t>IV.10A</t>
        </is>
      </c>
      <c r="D40" s="12" t="inlineStr">
        <is>
          <t>Sum tax-eligible expenses</t>
        </is>
      </c>
      <c r="E40" s="12" t="inlineStr">
        <is>
          <t>Year</t>
        </is>
      </c>
      <c r="F40" s="12" t="inlineStr">
        <is>
          <t>Itemized method + deductible amount + substantiation</t>
        </is>
      </c>
      <c r="G40" s="12" t="inlineStr">
        <is>
          <t>Not every book expense is deductible; avoid cost-of-sales duplication</t>
        </is>
      </c>
    </row>
    <row r="41" ht="46" customHeight="1">
      <c r="A41" s="15" t="inlineStr">
        <is>
          <t>interest_expense</t>
        </is>
      </c>
      <c r="B41" s="15" t="inlineStr">
        <is>
          <t>1701-MS</t>
        </is>
      </c>
      <c r="C41" s="15" t="inlineStr">
        <is>
          <t>IV.10A</t>
        </is>
      </c>
      <c r="D41" s="15" t="inlineStr">
        <is>
          <t>Sum tax-eligible expenses</t>
        </is>
      </c>
      <c r="E41" s="15" t="inlineStr">
        <is>
          <t>Year</t>
        </is>
      </c>
      <c r="F41" s="15" t="inlineStr">
        <is>
          <t>Itemized method + deductible amount + substantiation</t>
        </is>
      </c>
      <c r="G41" s="15" t="inlineStr">
        <is>
          <t>Not every book expense is deductible; avoid cost-of-sales duplication</t>
        </is>
      </c>
    </row>
    <row r="42" ht="46" customHeight="1">
      <c r="A42" s="12" t="inlineStr">
        <is>
          <t>depreciation_expense</t>
        </is>
      </c>
      <c r="B42" s="12" t="inlineStr">
        <is>
          <t>1701-MS</t>
        </is>
      </c>
      <c r="C42" s="12" t="inlineStr">
        <is>
          <t>IV.10A</t>
        </is>
      </c>
      <c r="D42" s="12" t="inlineStr">
        <is>
          <t>Sum tax-eligible expenses</t>
        </is>
      </c>
      <c r="E42" s="12" t="inlineStr">
        <is>
          <t>Year</t>
        </is>
      </c>
      <c r="F42" s="12" t="inlineStr">
        <is>
          <t>Itemized method + deductible amount + substantiation</t>
        </is>
      </c>
      <c r="G42" s="12" t="inlineStr">
        <is>
          <t>Not every book expense is deductible; avoid cost-of-sales duplication</t>
        </is>
      </c>
    </row>
    <row r="43" ht="46" customHeight="1">
      <c r="A43" s="15" t="inlineStr">
        <is>
          <t>ph_percentage_tax_expense</t>
        </is>
      </c>
      <c r="B43" s="15" t="inlineStr">
        <is>
          <t>1701-MS</t>
        </is>
      </c>
      <c r="C43" s="15" t="inlineStr">
        <is>
          <t>IV.10A</t>
        </is>
      </c>
      <c r="D43" s="15" t="inlineStr">
        <is>
          <t>Sum tax-eligible expenses</t>
        </is>
      </c>
      <c r="E43" s="15" t="inlineStr">
        <is>
          <t>Year</t>
        </is>
      </c>
      <c r="F43" s="15" t="inlineStr">
        <is>
          <t>Itemized method + deductible amount + substantiation</t>
        </is>
      </c>
      <c r="G43" s="15" t="inlineStr">
        <is>
          <t>Not every book expense is deductible; avoid cost-of-sales duplication</t>
        </is>
      </c>
    </row>
    <row r="44" ht="46" customHeight="1">
      <c r="A44" s="12" t="inlineStr">
        <is>
          <t>payment_processing_fees</t>
        </is>
      </c>
      <c r="B44" s="12" t="inlineStr">
        <is>
          <t>1701-MS</t>
        </is>
      </c>
      <c r="C44" s="12" t="inlineStr">
        <is>
          <t>IV.8</t>
        </is>
      </c>
      <c r="D44" s="12" t="inlineStr">
        <is>
          <t>Review classification</t>
        </is>
      </c>
      <c r="E44" s="12" t="inlineStr">
        <is>
          <t>Year</t>
        </is>
      </c>
      <c r="F44" s="12" t="inlineStr">
        <is>
          <t>Itemized and treated as cost of services</t>
        </is>
      </c>
      <c r="G44" s="12" t="inlineStr">
        <is>
          <t>May instead be operating expense; never both</t>
        </is>
      </c>
    </row>
    <row r="45" ht="46" customHeight="1">
      <c r="A45" s="15" t="inlineStr">
        <is>
          <t>hosting_fees</t>
        </is>
      </c>
      <c r="B45" s="15" t="inlineStr">
        <is>
          <t>1701-MS</t>
        </is>
      </c>
      <c r="C45" s="15" t="inlineStr">
        <is>
          <t>IV.8</t>
        </is>
      </c>
      <c r="D45" s="15" t="inlineStr">
        <is>
          <t>Review classification</t>
        </is>
      </c>
      <c r="E45" s="15" t="inlineStr">
        <is>
          <t>Year</t>
        </is>
      </c>
      <c r="F45" s="15" t="inlineStr">
        <is>
          <t>Itemized and treated as cost of services</t>
        </is>
      </c>
      <c r="G45" s="15" t="inlineStr">
        <is>
          <t>May instead be operating expense; never both</t>
        </is>
      </c>
    </row>
    <row r="46" ht="46" customHeight="1">
      <c r="A46" s="12" t="inlineStr">
        <is>
          <t>salaries</t>
        </is>
      </c>
      <c r="B46" s="12" t="inlineStr">
        <is>
          <t>1601-C</t>
        </is>
      </c>
      <c r="C46" s="12" t="inlineStr">
        <is>
          <t>II.14</t>
        </is>
      </c>
      <c r="D46" s="12" t="inlineStr">
        <is>
          <t>Reconcile to payroll detail</t>
        </is>
      </c>
      <c r="E46" s="12" t="inlineStr">
        <is>
          <t>Month</t>
        </is>
      </c>
      <c r="F46" s="12" t="inlineStr">
        <is>
          <t>Employee gross compensation</t>
        </is>
      </c>
      <c r="G46" s="12" t="inlineStr">
        <is>
          <t>Form source is employee payroll, not aggregate GL alone</t>
        </is>
      </c>
    </row>
    <row r="47" ht="46" customHeight="1">
      <c r="A47" s="15" t="inlineStr">
        <is>
          <t>employee_benefits</t>
        </is>
      </c>
      <c r="B47" s="15" t="inlineStr">
        <is>
          <t>1601-C</t>
        </is>
      </c>
      <c r="C47" s="15" t="inlineStr">
        <is>
          <t>II.14</t>
        </is>
      </c>
      <c r="D47" s="15" t="inlineStr">
        <is>
          <t>Reconcile to payroll detail</t>
        </is>
      </c>
      <c r="E47" s="15" t="inlineStr">
        <is>
          <t>Month</t>
        </is>
      </c>
      <c r="F47" s="15" t="inlineStr">
        <is>
          <t>Employee gross compensation</t>
        </is>
      </c>
      <c r="G47" s="15" t="inlineStr">
        <is>
          <t>Form source is employee payroll, not aggregate GL alone</t>
        </is>
      </c>
    </row>
    <row r="48" ht="46" customHeight="1">
      <c r="A48" s="12" t="inlineStr">
        <is>
          <t>ph_wtc_payable</t>
        </is>
      </c>
      <c r="B48" s="12" t="inlineStr">
        <is>
          <t>1601-C</t>
        </is>
      </c>
      <c r="C48" s="12" t="inlineStr">
        <is>
          <t>II.25</t>
        </is>
      </c>
      <c r="D48" s="12" t="inlineStr">
        <is>
          <t>Reconcile withholding postings</t>
        </is>
      </c>
      <c r="E48" s="12" t="inlineStr">
        <is>
          <t>Month</t>
        </is>
      </c>
      <c r="F48" s="12" t="inlineStr">
        <is>
          <t>Posted withholding by payroll event</t>
        </is>
      </c>
      <c r="G48" s="12" t="inlineStr">
        <is>
          <t>Use employee withholding sum; exclude remittance and other movements</t>
        </is>
      </c>
    </row>
    <row r="49" ht="46" customHeight="1">
      <c r="A49" s="15" t="inlineStr">
        <is>
          <t>ph_sss_payable</t>
        </is>
      </c>
      <c r="B49" s="15" t="inlineStr">
        <is>
          <t>1601-C</t>
        </is>
      </c>
      <c r="C49" s="15" t="inlineStr">
        <is>
          <t>II.19</t>
        </is>
      </c>
      <c r="D49" s="15" t="inlineStr">
        <is>
          <t>Reconcile to employee-share detail</t>
        </is>
      </c>
      <c r="E49" s="15" t="inlineStr">
        <is>
          <t>Month</t>
        </is>
      </c>
      <c r="F49" s="15" t="inlineStr">
        <is>
          <t>Payroll employee share only</t>
        </is>
      </c>
      <c r="G49" s="15" t="inlineStr">
        <is>
          <t>Control balance can include employer share; do not use full account total</t>
        </is>
      </c>
    </row>
    <row r="50" ht="46" customHeight="1">
      <c r="A50" s="12" t="inlineStr">
        <is>
          <t>ph_philhealth_payable</t>
        </is>
      </c>
      <c r="B50" s="12" t="inlineStr">
        <is>
          <t>1601-C</t>
        </is>
      </c>
      <c r="C50" s="12" t="inlineStr">
        <is>
          <t>II.19</t>
        </is>
      </c>
      <c r="D50" s="12" t="inlineStr">
        <is>
          <t>Reconcile to employee-share detail</t>
        </is>
      </c>
      <c r="E50" s="12" t="inlineStr">
        <is>
          <t>Month</t>
        </is>
      </c>
      <c r="F50" s="12" t="inlineStr">
        <is>
          <t>Payroll employee share only</t>
        </is>
      </c>
      <c r="G50" s="12" t="inlineStr">
        <is>
          <t>Control balance can include employer share; do not use full account total</t>
        </is>
      </c>
    </row>
    <row r="51" ht="46" customHeight="1">
      <c r="A51" s="15" t="inlineStr">
        <is>
          <t>ph_pagibig_payable</t>
        </is>
      </c>
      <c r="B51" s="15" t="inlineStr">
        <is>
          <t>1601-C</t>
        </is>
      </c>
      <c r="C51" s="15" t="inlineStr">
        <is>
          <t>II.19</t>
        </is>
      </c>
      <c r="D51" s="15" t="inlineStr">
        <is>
          <t>Reconcile to employee-share detail</t>
        </is>
      </c>
      <c r="E51" s="15" t="inlineStr">
        <is>
          <t>Month</t>
        </is>
      </c>
      <c r="F51" s="15" t="inlineStr">
        <is>
          <t>Payroll employee share only</t>
        </is>
      </c>
      <c r="G51" s="15" t="inlineStr">
        <is>
          <t>Control balance can include employer share; do not use full account total</t>
        </is>
      </c>
    </row>
    <row r="52" ht="46" customHeight="1">
      <c r="A52" s="12" t="inlineStr">
        <is>
          <t>ph_union_dues_payable</t>
        </is>
      </c>
      <c r="B52" s="12" t="inlineStr">
        <is>
          <t>1601-C</t>
        </is>
      </c>
      <c r="C52" s="12" t="inlineStr">
        <is>
          <t>II.19</t>
        </is>
      </c>
      <c r="D52" s="12" t="inlineStr">
        <is>
          <t>Reconcile to employee-share detail</t>
        </is>
      </c>
      <c r="E52" s="12" t="inlineStr">
        <is>
          <t>Month</t>
        </is>
      </c>
      <c r="F52" s="12" t="inlineStr">
        <is>
          <t>Payroll employee share only</t>
        </is>
      </c>
      <c r="G52" s="12" t="inlineStr">
        <is>
          <t>Control balance can include employer share; do not use full account total</t>
        </is>
      </c>
    </row>
    <row r="53" ht="46" customHeight="1">
      <c r="A53" s="15" t="inlineStr">
        <is>
          <t>ph_cwt_receivable</t>
        </is>
      </c>
      <c r="B53" s="15" t="inlineStr">
        <is>
          <t>1701-MS</t>
        </is>
      </c>
      <c r="C53" s="15" t="inlineStr">
        <is>
          <t>V.3</t>
        </is>
      </c>
      <c r="D53" s="15" t="inlineStr">
        <is>
          <t>Aggregate eligible income-tax credits</t>
        </is>
      </c>
      <c r="E53" s="15" t="inlineStr">
        <is>
          <t>Q1–Q3</t>
        </is>
      </c>
      <c r="F53" s="15" t="inlineStr">
        <is>
          <t>2307 / 1606 income tax</t>
        </is>
      </c>
      <c r="G53" s="15" t="inlineStr">
        <is>
          <t>Trace certificate, payer, income and period</t>
        </is>
      </c>
    </row>
    <row r="54" ht="46" customHeight="1">
      <c r="A54" s="12" t="inlineStr">
        <is>
          <t>ph_cwt_receivable</t>
        </is>
      </c>
      <c r="B54" s="12" t="inlineStr">
        <is>
          <t>1701-MS</t>
        </is>
      </c>
      <c r="C54" s="12" t="inlineStr">
        <is>
          <t>V.4</t>
        </is>
      </c>
      <c r="D54" s="12" t="inlineStr">
        <is>
          <t>Aggregate eligible income-tax credits</t>
        </is>
      </c>
      <c r="E54" s="12" t="inlineStr">
        <is>
          <t>Q4</t>
        </is>
      </c>
      <c r="F54" s="12" t="inlineStr">
        <is>
          <t>2307 / 1606 income tax</t>
        </is>
      </c>
      <c r="G54" s="12" t="inlineStr">
        <is>
          <t>Not percentage-tax withheld</t>
        </is>
      </c>
    </row>
    <row r="55" ht="46" customHeight="1">
      <c r="A55" s="15" t="inlineStr">
        <is>
          <t>pct_tax_credit_receivable</t>
        </is>
      </c>
      <c r="B55" s="15" t="inlineStr">
        <is>
          <t>2551Q</t>
        </is>
      </c>
      <c r="C55" s="15" t="inlineStr">
        <is>
          <t>II.15</t>
        </is>
      </c>
      <c r="D55" s="15" t="inlineStr">
        <is>
          <t>Aggregate eligible percentage-tax credits</t>
        </is>
      </c>
      <c r="E55" s="15" t="inlineStr">
        <is>
          <t>Quarter</t>
        </is>
      </c>
      <c r="F55" s="15" t="inlineStr">
        <is>
          <t>2307 percentage-tax withholding</t>
        </is>
      </c>
      <c r="G55" s="15" t="inlineStr">
        <is>
          <t>Must not mix with income-tax 2307</t>
        </is>
      </c>
    </row>
    <row r="56" ht="46" customHeight="1">
      <c r="A56" s="12" t="inlineStr">
        <is>
          <t>income_tax_paid</t>
        </is>
      </c>
      <c r="B56" s="12" t="inlineStr">
        <is>
          <t>1701-MS</t>
        </is>
      </c>
      <c r="C56" s="12" t="inlineStr">
        <is>
          <t>V.2</t>
        </is>
      </c>
      <c r="D56" s="12" t="inlineStr">
        <is>
          <t>Aggregate previous quarterly income tax paid</t>
        </is>
      </c>
      <c r="E56" s="12" t="inlineStr">
        <is>
          <t>Q1–Q3</t>
        </is>
      </c>
      <c r="F56" s="12" t="inlineStr">
        <is>
          <t>1701Q payment proof</t>
        </is>
      </c>
      <c r="G56" s="12" t="inlineStr">
        <is>
          <t>Do not add withholding amount as a second cash payment</t>
        </is>
      </c>
    </row>
    <row r="57" ht="46" customHeight="1">
      <c r="A57" s="15" t="inlineStr">
        <is>
          <t>ph_percentage_tax_payable</t>
        </is>
      </c>
      <c r="B57" s="15" t="inlineStr">
        <is>
          <t>2551Q</t>
        </is>
      </c>
      <c r="C57" s="15" t="inlineStr">
        <is>
          <t>II.14</t>
        </is>
      </c>
      <c r="D57" s="15" t="inlineStr">
        <is>
          <t>Reconcile tax liability</t>
        </is>
      </c>
      <c r="E57" s="15" t="inlineStr">
        <is>
          <t>Quarter</t>
        </is>
      </c>
      <c r="F57" s="15" t="inlineStr">
        <is>
          <t>Posted percentage-tax assessment</t>
        </is>
      </c>
      <c r="G57" s="15" t="inlineStr">
        <is>
          <t>Return tax is computed from ATC base, not payable balance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21" customWidth="1" min="2" max="2"/>
    <col width="44" customWidth="1" min="3" max="3"/>
    <col width="22" customWidth="1" min="4" max="4"/>
    <col width="42" customWidth="1" min="5" max="5"/>
    <col width="55" customWidth="1" min="6" max="6"/>
    <col width="20" customWidth="1" min="7" max="7"/>
    <col width="18" customWidth="1" min="8" max="8"/>
  </cols>
  <sheetData>
    <row r="1" ht="24" customHeight="1">
      <c r="A1" s="1" t="inlineStr">
        <is>
          <t>2551Q field dictionary</t>
        </is>
      </c>
    </row>
    <row r="2" ht="24" customHeight="1">
      <c r="A2" s="2" t="inlineStr">
        <is>
          <t>January 2018 (ENCS), 2 pages. Stable IDs include the section to prevent duplicated item numbers.</t>
        </is>
      </c>
    </row>
    <row r="3" ht="24" customHeight="1">
      <c r="A3" s="3" t="inlineStr">
        <is>
          <t>Rows 1–6 of Schedule 1 and each payment column are expanded. Official source S1.</t>
        </is>
      </c>
    </row>
    <row r="5" ht="32" customHeight="1">
      <c r="A5" s="14" t="inlineStr">
        <is>
          <t>Section</t>
        </is>
      </c>
      <c r="B5" s="14" t="inlineStr">
        <is>
          <t>Field ID</t>
        </is>
      </c>
      <c r="C5" s="14" t="inlineStr">
        <is>
          <t>BIR field</t>
        </is>
      </c>
      <c r="D5" s="14" t="inlineStr">
        <is>
          <t>Origin</t>
        </is>
      </c>
      <c r="E5" s="14" t="inlineStr">
        <is>
          <t>Source / data</t>
        </is>
      </c>
      <c r="F5" s="14" t="inlineStr">
        <is>
          <t>Rule or condition</t>
        </is>
      </c>
      <c r="G5" s="14" t="inlineStr">
        <is>
          <t>Grain</t>
        </is>
      </c>
      <c r="H5" s="14" t="inlineStr">
        <is>
          <t>Status</t>
        </is>
      </c>
    </row>
    <row r="6" ht="46" customHeight="1">
      <c r="A6" s="12" t="inlineStr">
        <is>
          <t>Header</t>
        </is>
      </c>
      <c r="B6" s="12" t="inlineStr">
        <is>
          <t>H.1</t>
        </is>
      </c>
      <c r="C6" s="12" t="inlineStr">
        <is>
          <t>Calendar or fiscal year</t>
        </is>
      </c>
      <c r="D6" s="12" t="inlineStr">
        <is>
          <t>Profile</t>
        </is>
      </c>
      <c r="E6" s="12" t="inlineStr">
        <is>
          <t>Fiscal-year configuration</t>
        </is>
      </c>
      <c r="F6" s="12" t="inlineStr">
        <is>
          <t>Calendar/fiscal selector</t>
        </is>
      </c>
      <c r="G6" s="12" t="inlineStr">
        <is>
          <t>Return</t>
        </is>
      </c>
      <c r="H6" s="12" t="inlineStr">
        <is>
          <t>Specified</t>
        </is>
      </c>
    </row>
    <row r="7" ht="46" customHeight="1">
      <c r="A7" s="15" t="inlineStr">
        <is>
          <t>Header</t>
        </is>
      </c>
      <c r="B7" s="15" t="inlineStr">
        <is>
          <t>H.2</t>
        </is>
      </c>
      <c r="C7" s="15" t="inlineStr">
        <is>
          <t>Year ended (MM/YYYY)</t>
        </is>
      </c>
      <c r="D7" s="15" t="inlineStr">
        <is>
          <t>Period</t>
        </is>
      </c>
      <c r="E7" s="15" t="inlineStr">
        <is>
          <t>Tax period end</t>
        </is>
      </c>
      <c r="F7" s="15" t="inlineStr">
        <is>
          <t>Do not infer solely from transaction date</t>
        </is>
      </c>
      <c r="G7" s="15" t="inlineStr">
        <is>
          <t>Return</t>
        </is>
      </c>
      <c r="H7" s="15" t="inlineStr">
        <is>
          <t>Specified</t>
        </is>
      </c>
    </row>
    <row r="8" ht="46" customHeight="1">
      <c r="A8" s="12" t="inlineStr">
        <is>
          <t>Header</t>
        </is>
      </c>
      <c r="B8" s="12" t="inlineStr">
        <is>
          <t>H.3</t>
        </is>
      </c>
      <c r="C8" s="12" t="inlineStr">
        <is>
          <t>Quarter</t>
        </is>
      </c>
      <c r="D8" s="12" t="inlineStr">
        <is>
          <t>Period</t>
        </is>
      </c>
      <c r="E8" s="12" t="inlineStr">
        <is>
          <t>Return period</t>
        </is>
      </c>
      <c r="F8" s="12" t="inlineStr">
        <is>
          <t>1st / 2nd / 3rd / 4th</t>
        </is>
      </c>
      <c r="G8" s="12" t="inlineStr">
        <is>
          <t>Return</t>
        </is>
      </c>
      <c r="H8" s="12" t="inlineStr">
        <is>
          <t>Specified</t>
        </is>
      </c>
    </row>
    <row r="9" ht="46" customHeight="1">
      <c r="A9" s="15" t="inlineStr">
        <is>
          <t>Header</t>
        </is>
      </c>
      <c r="B9" s="15" t="inlineStr">
        <is>
          <t>H.4</t>
        </is>
      </c>
      <c r="C9" s="15" t="inlineStr">
        <is>
          <t>Amended return?</t>
        </is>
      </c>
      <c r="D9" s="15" t="inlineStr">
        <is>
          <t>Filing</t>
        </is>
      </c>
      <c r="E9" s="15" t="inlineStr">
        <is>
          <t>Return version</t>
        </is>
      </c>
      <c r="F9" s="15" t="inlineStr">
        <is>
          <t>Link original filing when Yes</t>
        </is>
      </c>
      <c r="G9" s="15" t="inlineStr">
        <is>
          <t>Return</t>
        </is>
      </c>
      <c r="H9" s="15" t="inlineStr">
        <is>
          <t>Specified</t>
        </is>
      </c>
    </row>
    <row r="10" ht="46" customHeight="1">
      <c r="A10" s="12" t="inlineStr">
        <is>
          <t>Header</t>
        </is>
      </c>
      <c r="B10" s="12" t="inlineStr">
        <is>
          <t>H.5</t>
        </is>
      </c>
      <c r="C10" s="12" t="inlineStr">
        <is>
          <t>Number of sheets attached</t>
        </is>
      </c>
      <c r="D10" s="12" t="inlineStr">
        <is>
          <t>Filing</t>
        </is>
      </c>
      <c r="E10" s="12" t="inlineStr">
        <is>
          <t>Attachment list</t>
        </is>
      </c>
      <c r="F10" s="12" t="inlineStr">
        <is>
          <t>Count the submitted sheets</t>
        </is>
      </c>
      <c r="G10" s="12" t="inlineStr">
        <is>
          <t>Return</t>
        </is>
      </c>
      <c r="H10" s="12" t="inlineStr">
        <is>
          <t>Specified</t>
        </is>
      </c>
    </row>
    <row r="11" ht="46" customHeight="1">
      <c r="A11" s="15" t="inlineStr">
        <is>
          <t>I</t>
        </is>
      </c>
      <c r="B11" s="15" t="inlineStr">
        <is>
          <t>I.6</t>
        </is>
      </c>
      <c r="C11" s="15" t="inlineStr">
        <is>
          <t>Taxpayer identification number</t>
        </is>
      </c>
      <c r="D11" s="15" t="inlineStr">
        <is>
          <t>Profile</t>
        </is>
      </c>
      <c r="E11" s="15" t="inlineStr">
        <is>
          <t>org_tax_profiles.tin + branchCode</t>
        </is>
      </c>
      <c r="F11" s="15" t="inlineStr">
        <is>
          <t>Validate taxpayer and branch</t>
        </is>
      </c>
      <c r="G11" s="15" t="inlineStr">
        <is>
          <t>Return</t>
        </is>
      </c>
      <c r="H11" s="15" t="inlineStr">
        <is>
          <t>Specified</t>
        </is>
      </c>
    </row>
    <row r="12" ht="46" customHeight="1">
      <c r="A12" s="12" t="inlineStr">
        <is>
          <t>I</t>
        </is>
      </c>
      <c r="B12" s="12" t="inlineStr">
        <is>
          <t>I.7</t>
        </is>
      </c>
      <c r="C12" s="12" t="inlineStr">
        <is>
          <t>RDO code</t>
        </is>
      </c>
      <c r="D12" s="12" t="inlineStr">
        <is>
          <t>Profile</t>
        </is>
      </c>
      <c r="E12" s="12" t="inlineStr">
        <is>
          <t>org_tax_profiles.rdoCode</t>
        </is>
      </c>
      <c r="F12" s="12" t="inlineStr">
        <is>
          <t>Use registered RDO</t>
        </is>
      </c>
      <c r="G12" s="12" t="inlineStr">
        <is>
          <t>Return</t>
        </is>
      </c>
      <c r="H12" s="12" t="inlineStr">
        <is>
          <t>Specified</t>
        </is>
      </c>
    </row>
    <row r="13" ht="46" customHeight="1">
      <c r="A13" s="15" t="inlineStr">
        <is>
          <t>I</t>
        </is>
      </c>
      <c r="B13" s="15" t="inlineStr">
        <is>
          <t>I.8</t>
        </is>
      </c>
      <c r="C13" s="15" t="inlineStr">
        <is>
          <t>Taxpayer name</t>
        </is>
      </c>
      <c r="D13" s="15" t="inlineStr">
        <is>
          <t>Profile</t>
        </is>
      </c>
      <c r="E13" s="15" t="inlineStr">
        <is>
          <t>registeredName</t>
        </is>
      </c>
      <c r="F13" s="15" t="inlineStr">
        <is>
          <t>Individual full name or entity registered name</t>
        </is>
      </c>
      <c r="G13" s="15" t="inlineStr">
        <is>
          <t>Return</t>
        </is>
      </c>
      <c r="H13" s="15" t="inlineStr">
        <is>
          <t>Specified</t>
        </is>
      </c>
    </row>
    <row r="14" ht="46" customHeight="1">
      <c r="A14" s="12" t="inlineStr">
        <is>
          <t>I</t>
        </is>
      </c>
      <c r="B14" s="12" t="inlineStr">
        <is>
          <t>I.9</t>
        </is>
      </c>
      <c r="C14" s="12" t="inlineStr">
        <is>
          <t>Registered address</t>
        </is>
      </c>
      <c r="D14" s="12" t="inlineStr">
        <is>
          <t>Profile</t>
        </is>
      </c>
      <c r="E14" s="12" t="inlineStr">
        <is>
          <t>Registered address / branch profile</t>
        </is>
      </c>
      <c r="F14" s="12" t="inlineStr">
        <is>
          <t>Use correct filing identity</t>
        </is>
      </c>
      <c r="G14" s="12" t="inlineStr">
        <is>
          <t>Return</t>
        </is>
      </c>
      <c r="H14" s="12" t="inlineStr">
        <is>
          <t>Specified</t>
        </is>
      </c>
    </row>
    <row r="15" ht="46" customHeight="1">
      <c r="A15" s="15" t="inlineStr">
        <is>
          <t>I</t>
        </is>
      </c>
      <c r="B15" s="15" t="inlineStr">
        <is>
          <t>I.9A</t>
        </is>
      </c>
      <c r="C15" s="15" t="inlineStr">
        <is>
          <t>ZIP code</t>
        </is>
      </c>
      <c r="D15" s="15" t="inlineStr">
        <is>
          <t>Profile</t>
        </is>
      </c>
      <c r="E15" s="15" t="inlineStr">
        <is>
          <t>Registered address</t>
        </is>
      </c>
      <c r="F15" s="15" t="inlineStr">
        <is>
          <t>Text identifier, not a number</t>
        </is>
      </c>
      <c r="G15" s="15" t="inlineStr">
        <is>
          <t>Return</t>
        </is>
      </c>
      <c r="H15" s="15" t="inlineStr">
        <is>
          <t>Specified</t>
        </is>
      </c>
    </row>
    <row r="16" ht="46" customHeight="1">
      <c r="A16" s="12" t="inlineStr">
        <is>
          <t>I</t>
        </is>
      </c>
      <c r="B16" s="12" t="inlineStr">
        <is>
          <t>I.10</t>
        </is>
      </c>
      <c r="C16" s="12" t="inlineStr">
        <is>
          <t>Contact number</t>
        </is>
      </c>
      <c r="D16" s="12" t="inlineStr">
        <is>
          <t>Profile</t>
        </is>
      </c>
      <c r="E16" s="12" t="inlineStr">
        <is>
          <t>Contact data</t>
        </is>
      </c>
      <c r="F16" s="12" t="inlineStr">
        <is>
          <t>Not an accounting category</t>
        </is>
      </c>
      <c r="G16" s="12" t="inlineStr">
        <is>
          <t>Return</t>
        </is>
      </c>
      <c r="H16" s="12" t="inlineStr">
        <is>
          <t>Specified</t>
        </is>
      </c>
    </row>
    <row r="17" ht="46" customHeight="1">
      <c r="A17" s="15" t="inlineStr">
        <is>
          <t>I</t>
        </is>
      </c>
      <c r="B17" s="15" t="inlineStr">
        <is>
          <t>I.11</t>
        </is>
      </c>
      <c r="C17" s="15" t="inlineStr">
        <is>
          <t>Email address</t>
        </is>
      </c>
      <c r="D17" s="15" t="inlineStr">
        <is>
          <t>Profile</t>
        </is>
      </c>
      <c r="E17" s="15" t="inlineStr">
        <is>
          <t>Contact data</t>
        </is>
      </c>
      <c r="F17" s="15" t="inlineStr">
        <is>
          <t>Not an accounting category</t>
        </is>
      </c>
      <c r="G17" s="15" t="inlineStr">
        <is>
          <t>Return</t>
        </is>
      </c>
      <c r="H17" s="15" t="inlineStr">
        <is>
          <t>Specified</t>
        </is>
      </c>
    </row>
    <row r="18" ht="46" customHeight="1">
      <c r="A18" s="12" t="inlineStr">
        <is>
          <t>I</t>
        </is>
      </c>
      <c r="B18" s="12" t="inlineStr">
        <is>
          <t>I.12</t>
        </is>
      </c>
      <c r="C18" s="12" t="inlineStr">
        <is>
          <t>Relief under special law or treaty?</t>
        </is>
      </c>
      <c r="D18" s="12" t="inlineStr">
        <is>
          <t>Tax profile</t>
        </is>
      </c>
      <c r="E18" s="12" t="inlineStr">
        <is>
          <t>Relief election</t>
        </is>
      </c>
      <c r="F18" s="12" t="inlineStr">
        <is>
          <t>Conditional Yes/No</t>
        </is>
      </c>
      <c r="G18" s="12" t="inlineStr">
        <is>
          <t>Return</t>
        </is>
      </c>
      <c r="H18" s="12" t="inlineStr">
        <is>
          <t>Specified</t>
        </is>
      </c>
    </row>
    <row r="19" ht="46" customHeight="1">
      <c r="A19" s="15" t="inlineStr">
        <is>
          <t>I</t>
        </is>
      </c>
      <c r="B19" s="15" t="inlineStr">
        <is>
          <t>I.12A</t>
        </is>
      </c>
      <c r="C19" s="15" t="inlineStr">
        <is>
          <t>Specify relief</t>
        </is>
      </c>
      <c r="D19" s="15" t="inlineStr">
        <is>
          <t>Tax profile</t>
        </is>
      </c>
      <c r="E19" s="15" t="inlineStr">
        <is>
          <t>Relief authority</t>
        </is>
      </c>
      <c r="F19" s="15" t="inlineStr">
        <is>
          <t>Required if applicable</t>
        </is>
      </c>
      <c r="G19" s="15" t="inlineStr">
        <is>
          <t>Return</t>
        </is>
      </c>
      <c r="H19" s="15" t="inlineStr">
        <is>
          <t>Specified</t>
        </is>
      </c>
    </row>
    <row r="20" ht="46" customHeight="1">
      <c r="A20" s="12" t="inlineStr">
        <is>
          <t>I</t>
        </is>
      </c>
      <c r="B20" s="12" t="inlineStr">
        <is>
          <t>I.13</t>
        </is>
      </c>
      <c r="C20" s="12" t="inlineStr">
        <is>
          <t>Income-tax rates availed (options: graduated; 8%; not applicable: pinned key taxRateNA; printed NA option UNCONFIRMED)</t>
        </is>
      </c>
      <c r="D20" s="12" t="inlineStr">
        <is>
          <t>Election</t>
        </is>
      </c>
      <c r="E20" s="12" t="inlineStr">
        <is>
          <t>Tax-year election</t>
        </is>
      </c>
      <c r="F20" s="12" t="inlineStr">
        <is>
          <t>Initial quarter, individuals subject to Section 116; 8% is not always compatible with recurring PT010</t>
        </is>
      </c>
      <c r="G20" s="12" t="inlineStr">
        <is>
          <t>Return</t>
        </is>
      </c>
      <c r="H20" s="12" t="inlineStr">
        <is>
          <t>Specified</t>
        </is>
      </c>
    </row>
    <row r="21" ht="46" customHeight="1">
      <c r="A21" s="15" t="inlineStr">
        <is>
          <t>II</t>
        </is>
      </c>
      <c r="B21" s="15" t="inlineStr">
        <is>
          <t>II.14</t>
        </is>
      </c>
      <c r="C21" s="15" t="inlineStr">
        <is>
          <t>Total tax due</t>
        </is>
      </c>
      <c r="D21" s="15" t="inlineStr">
        <is>
          <t>Calculated</t>
        </is>
      </c>
      <c r="E21" s="15" t="inlineStr">
        <is>
          <t>Schedule 1.7</t>
        </is>
      </c>
      <c r="F21" s="15" t="inlineStr">
        <is>
          <t>Copy S1.7, not a ledger account</t>
        </is>
      </c>
      <c r="G21" s="15" t="inlineStr">
        <is>
          <t>Return</t>
        </is>
      </c>
      <c r="H21" s="15" t="inlineStr">
        <is>
          <t>Specified</t>
        </is>
      </c>
    </row>
    <row r="22" ht="46" customHeight="1">
      <c r="A22" s="12" t="inlineStr">
        <is>
          <t>II</t>
        </is>
      </c>
      <c r="B22" s="12" t="inlineStr">
        <is>
          <t>II.15</t>
        </is>
      </c>
      <c r="C22" s="12" t="inlineStr">
        <is>
          <t>Creditable percentage tax withheld per 2307</t>
        </is>
      </c>
      <c r="D22" s="12" t="inlineStr">
        <is>
          <t>Certificate</t>
        </is>
      </c>
      <c r="E22" s="12" t="inlineStr">
        <is>
          <t>Percentage-tax withholding certificate lines</t>
        </is>
      </c>
      <c r="F22" s="12" t="inlineStr">
        <is>
          <t>Do not use income-tax 2307 withholding</t>
        </is>
      </c>
      <c r="G22" s="12" t="inlineStr">
        <is>
          <t>Return</t>
        </is>
      </c>
      <c r="H22" s="12" t="inlineStr">
        <is>
          <t>Specified</t>
        </is>
      </c>
    </row>
    <row r="23" ht="46" customHeight="1">
      <c r="A23" s="15" t="inlineStr">
        <is>
          <t>II</t>
        </is>
      </c>
      <c r="B23" s="15" t="inlineStr">
        <is>
          <t>II.16</t>
        </is>
      </c>
      <c r="C23" s="15" t="inlineStr">
        <is>
          <t>Tax paid in previously filed return</t>
        </is>
      </c>
      <c r="D23" s="15" t="inlineStr">
        <is>
          <t>Filing payment</t>
        </is>
      </c>
      <c r="E23" s="15" t="inlineStr">
        <is>
          <t>Previously filed 2551Q</t>
        </is>
      </c>
      <c r="F23" s="15" t="inlineStr">
        <is>
          <t>Only amended return, with proof</t>
        </is>
      </c>
      <c r="G23" s="15" t="inlineStr">
        <is>
          <t>Return</t>
        </is>
      </c>
      <c r="H23" s="15" t="inlineStr">
        <is>
          <t>Specified</t>
        </is>
      </c>
    </row>
    <row r="24" ht="46" customHeight="1">
      <c r="A24" s="12" t="inlineStr">
        <is>
          <t>II</t>
        </is>
      </c>
      <c r="B24" s="12" t="inlineStr">
        <is>
          <t>II.17</t>
        </is>
      </c>
      <c r="C24" s="12" t="inlineStr">
        <is>
          <t>Other tax credit/payment + description</t>
        </is>
      </c>
      <c r="D24" s="12" t="inlineStr">
        <is>
          <t>Manual review</t>
        </is>
      </c>
      <c r="E24" s="12" t="inlineStr">
        <is>
          <t>Eligible percentage-tax credit/payment</t>
        </is>
      </c>
      <c r="F24" s="12" t="inlineStr">
        <is>
          <t>Record type and proof</t>
        </is>
      </c>
      <c r="G24" s="12" t="inlineStr">
        <is>
          <t>Return</t>
        </is>
      </c>
      <c r="H24" s="12" t="inlineStr">
        <is>
          <t>Specified</t>
        </is>
      </c>
    </row>
    <row r="25" ht="46" customHeight="1">
      <c r="A25" s="15" t="inlineStr">
        <is>
          <t>II</t>
        </is>
      </c>
      <c r="B25" s="15" t="inlineStr">
        <is>
          <t>II.18</t>
        </is>
      </c>
      <c r="C25" s="15" t="inlineStr">
        <is>
          <t>Total tax credits/payments</t>
        </is>
      </c>
      <c r="D25" s="15" t="inlineStr">
        <is>
          <t>Calculated</t>
        </is>
      </c>
      <c r="E25" s="15" t="inlineStr">
        <is>
          <t>II.15 + II.16 + II.17</t>
        </is>
      </c>
      <c r="F25" s="15" t="inlineStr">
        <is>
          <t>Preserve type and proof</t>
        </is>
      </c>
      <c r="G25" s="15" t="inlineStr">
        <is>
          <t>Return</t>
        </is>
      </c>
      <c r="H25" s="15" t="inlineStr">
        <is>
          <t>Specified</t>
        </is>
      </c>
    </row>
    <row r="26" ht="46" customHeight="1">
      <c r="A26" s="12" t="inlineStr">
        <is>
          <t>II</t>
        </is>
      </c>
      <c r="B26" s="12" t="inlineStr">
        <is>
          <t>II.19</t>
        </is>
      </c>
      <c r="C26" s="12" t="inlineStr">
        <is>
          <t>Tax still payable / overpayment</t>
        </is>
      </c>
      <c r="D26" s="12" t="inlineStr">
        <is>
          <t>Calculated</t>
        </is>
      </c>
      <c r="E26" s="12" t="inlineStr">
        <is>
          <t>II.14 - II.18</t>
        </is>
      </c>
      <c r="F26" s="12" t="inlineStr">
        <is>
          <t>Keep sign; no silent clamp</t>
        </is>
      </c>
      <c r="G26" s="12" t="inlineStr">
        <is>
          <t>Return</t>
        </is>
      </c>
      <c r="H26" s="12" t="inlineStr">
        <is>
          <t>Specified</t>
        </is>
      </c>
    </row>
    <row r="27" ht="46" customHeight="1">
      <c r="A27" s="15" t="inlineStr">
        <is>
          <t>II</t>
        </is>
      </c>
      <c r="B27" s="15" t="inlineStr">
        <is>
          <t>II.20</t>
        </is>
      </c>
      <c r="C27" s="15" t="inlineStr">
        <is>
          <t>Surcharge</t>
        </is>
      </c>
      <c r="D27" s="15" t="inlineStr">
        <is>
          <t>Manual review</t>
        </is>
      </c>
      <c r="E27" s="15" t="inlineStr">
        <is>
          <t>Penalty assessment</t>
        </is>
      </c>
      <c r="F27" s="15" t="inlineStr">
        <is>
          <t>Not ordinary tax-base transaction</t>
        </is>
      </c>
      <c r="G27" s="15" t="inlineStr">
        <is>
          <t>Return</t>
        </is>
      </c>
      <c r="H27" s="15" t="inlineStr">
        <is>
          <t>Specified</t>
        </is>
      </c>
    </row>
    <row r="28" ht="46" customHeight="1">
      <c r="A28" s="12" t="inlineStr">
        <is>
          <t>II</t>
        </is>
      </c>
      <c r="B28" s="12" t="inlineStr">
        <is>
          <t>II.21</t>
        </is>
      </c>
      <c r="C28" s="12" t="inlineStr">
        <is>
          <t>Interest</t>
        </is>
      </c>
      <c r="D28" s="12" t="inlineStr">
        <is>
          <t>Manual review</t>
        </is>
      </c>
      <c r="E28" s="12" t="inlineStr">
        <is>
          <t>Penalty assessment</t>
        </is>
      </c>
      <c r="F28" s="12" t="inlineStr">
        <is>
          <t>Versioned legal calculation</t>
        </is>
      </c>
      <c r="G28" s="12" t="inlineStr">
        <is>
          <t>Return</t>
        </is>
      </c>
      <c r="H28" s="12" t="inlineStr">
        <is>
          <t>Specified</t>
        </is>
      </c>
    </row>
    <row r="29" ht="46" customHeight="1">
      <c r="A29" s="15" t="inlineStr">
        <is>
          <t>II</t>
        </is>
      </c>
      <c r="B29" s="15" t="inlineStr">
        <is>
          <t>II.22</t>
        </is>
      </c>
      <c r="C29" s="15" t="inlineStr">
        <is>
          <t>Compromise</t>
        </is>
      </c>
      <c r="D29" s="15" t="inlineStr">
        <is>
          <t>Manual review</t>
        </is>
      </c>
      <c r="E29" s="15" t="inlineStr">
        <is>
          <t>Penalty assessment</t>
        </is>
      </c>
      <c r="F29" s="15" t="inlineStr">
        <is>
          <t>User / BIR-reviewed value</t>
        </is>
      </c>
      <c r="G29" s="15" t="inlineStr">
        <is>
          <t>Return</t>
        </is>
      </c>
      <c r="H29" s="15" t="inlineStr">
        <is>
          <t>Specified</t>
        </is>
      </c>
    </row>
    <row r="30" ht="46" customHeight="1">
      <c r="A30" s="12" t="inlineStr">
        <is>
          <t>II</t>
        </is>
      </c>
      <c r="B30" s="12" t="inlineStr">
        <is>
          <t>II.23</t>
        </is>
      </c>
      <c r="C30" s="12" t="inlineStr">
        <is>
          <t>Total penalties</t>
        </is>
      </c>
      <c r="D30" s="12" t="inlineStr">
        <is>
          <t>Calculated</t>
        </is>
      </c>
      <c r="E30" s="12" t="inlineStr">
        <is>
          <t>II.20 + II.21 + II.22</t>
        </is>
      </c>
      <c r="F30" s="12" t="inlineStr">
        <is>
          <t>Do not invent penalties</t>
        </is>
      </c>
      <c r="G30" s="12" t="inlineStr">
        <is>
          <t>Return</t>
        </is>
      </c>
      <c r="H30" s="12" t="inlineStr">
        <is>
          <t>Specified</t>
        </is>
      </c>
    </row>
    <row r="31" ht="46" customHeight="1">
      <c r="A31" s="15" t="inlineStr">
        <is>
          <t>II</t>
        </is>
      </c>
      <c r="B31" s="15" t="inlineStr">
        <is>
          <t>II.24</t>
        </is>
      </c>
      <c r="C31" s="15" t="inlineStr">
        <is>
          <t>Total amount payable / overpayment</t>
        </is>
      </c>
      <c r="D31" s="15" t="inlineStr">
        <is>
          <t>Calculated</t>
        </is>
      </c>
      <c r="E31" s="15" t="inlineStr">
        <is>
          <t>II.19 + II.23</t>
        </is>
      </c>
      <c r="F31" s="15" t="inlineStr">
        <is>
          <t>Keep sign</t>
        </is>
      </c>
      <c r="G31" s="15" t="inlineStr">
        <is>
          <t>Return</t>
        </is>
      </c>
      <c r="H31" s="15" t="inlineStr">
        <is>
          <t>Specified</t>
        </is>
      </c>
    </row>
    <row r="32" ht="46" customHeight="1">
      <c r="A32" s="12" t="inlineStr">
        <is>
          <t>II</t>
        </is>
      </c>
      <c r="B32" s="12" t="inlineStr">
        <is>
          <t>II.overpayment</t>
        </is>
      </c>
      <c r="C32" s="12" t="inlineStr">
        <is>
          <t>Refund or tax-credit-certificate selection</t>
        </is>
      </c>
      <c r="D32" s="12" t="inlineStr">
        <is>
          <t>Filing decision</t>
        </is>
      </c>
      <c r="E32" s="12" t="inlineStr">
        <is>
          <t>Preparer decision</t>
        </is>
      </c>
      <c r="F32" s="12" t="inlineStr">
        <is>
          <t>Only when eligible overpayment exists</t>
        </is>
      </c>
      <c r="G32" s="12" t="inlineStr">
        <is>
          <t>Return</t>
        </is>
      </c>
      <c r="H32" s="12" t="inlineStr">
        <is>
          <t>Specified</t>
        </is>
      </c>
    </row>
    <row r="33" ht="46" customHeight="1">
      <c r="A33" s="15" t="inlineStr">
        <is>
          <t>III</t>
        </is>
      </c>
      <c r="B33" s="15" t="inlineStr">
        <is>
          <t>III.25.bank</t>
        </is>
      </c>
      <c r="C33" s="15" t="inlineStr">
        <is>
          <t>Cash / bank debit: Drawee bank / agency</t>
        </is>
      </c>
      <c r="D33" s="15" t="inlineStr">
        <is>
          <t>Payment</t>
        </is>
      </c>
      <c r="E33" s="15" t="inlineStr">
        <is>
          <t>Payment evidence</t>
        </is>
      </c>
      <c r="F33" s="15" t="inlineStr">
        <is>
          <t>Record only if method 25 is used</t>
        </is>
      </c>
      <c r="G33" s="15" t="inlineStr">
        <is>
          <t>Payment row</t>
        </is>
      </c>
      <c r="H33" s="15" t="inlineStr">
        <is>
          <t>Specified</t>
        </is>
      </c>
    </row>
    <row r="34" ht="46" customHeight="1">
      <c r="A34" s="12" t="inlineStr">
        <is>
          <t>III</t>
        </is>
      </c>
      <c r="B34" s="12" t="inlineStr">
        <is>
          <t>III.25.number</t>
        </is>
      </c>
      <c r="C34" s="12" t="inlineStr">
        <is>
          <t>Cash / bank debit: Reference number</t>
        </is>
      </c>
      <c r="D34" s="12" t="inlineStr">
        <is>
          <t>Payment</t>
        </is>
      </c>
      <c r="E34" s="12" t="inlineStr">
        <is>
          <t>Payment evidence</t>
        </is>
      </c>
      <c r="F34" s="12" t="inlineStr">
        <is>
          <t>Record only if method 25 is used</t>
        </is>
      </c>
      <c r="G34" s="12" t="inlineStr">
        <is>
          <t>Payment row</t>
        </is>
      </c>
      <c r="H34" s="12" t="inlineStr">
        <is>
          <t>Specified</t>
        </is>
      </c>
    </row>
    <row r="35" ht="46" customHeight="1">
      <c r="A35" s="15" t="inlineStr">
        <is>
          <t>III</t>
        </is>
      </c>
      <c r="B35" s="15" t="inlineStr">
        <is>
          <t>III.25.date</t>
        </is>
      </c>
      <c r="C35" s="15" t="inlineStr">
        <is>
          <t>Cash / bank debit: Payment date</t>
        </is>
      </c>
      <c r="D35" s="15" t="inlineStr">
        <is>
          <t>Payment</t>
        </is>
      </c>
      <c r="E35" s="15" t="inlineStr">
        <is>
          <t>Payment evidence</t>
        </is>
      </c>
      <c r="F35" s="15" t="inlineStr">
        <is>
          <t>Record only if method 25 is used</t>
        </is>
      </c>
      <c r="G35" s="15" t="inlineStr">
        <is>
          <t>Payment row</t>
        </is>
      </c>
      <c r="H35" s="15" t="inlineStr">
        <is>
          <t>Specified</t>
        </is>
      </c>
    </row>
    <row r="36" ht="46" customHeight="1">
      <c r="A36" s="12" t="inlineStr">
        <is>
          <t>III</t>
        </is>
      </c>
      <c r="B36" s="12" t="inlineStr">
        <is>
          <t>III.25.amount</t>
        </is>
      </c>
      <c r="C36" s="12" t="inlineStr">
        <is>
          <t>Cash / bank debit: Amount</t>
        </is>
      </c>
      <c r="D36" s="12" t="inlineStr">
        <is>
          <t>Payment</t>
        </is>
      </c>
      <c r="E36" s="12" t="inlineStr">
        <is>
          <t>Payment evidence</t>
        </is>
      </c>
      <c r="F36" s="12" t="inlineStr">
        <is>
          <t>Record only if method 25 is used</t>
        </is>
      </c>
      <c r="G36" s="12" t="inlineStr">
        <is>
          <t>Payment row</t>
        </is>
      </c>
      <c r="H36" s="12" t="inlineStr">
        <is>
          <t>Specified</t>
        </is>
      </c>
    </row>
    <row r="37" ht="46" customHeight="1">
      <c r="A37" s="15" t="inlineStr">
        <is>
          <t>III</t>
        </is>
      </c>
      <c r="B37" s="15" t="inlineStr">
        <is>
          <t>III.26.bank</t>
        </is>
      </c>
      <c r="C37" s="15" t="inlineStr">
        <is>
          <t>Check: Drawee bank / agency</t>
        </is>
      </c>
      <c r="D37" s="15" t="inlineStr">
        <is>
          <t>Payment</t>
        </is>
      </c>
      <c r="E37" s="15" t="inlineStr">
        <is>
          <t>Payment evidence</t>
        </is>
      </c>
      <c r="F37" s="15" t="inlineStr">
        <is>
          <t>Record only if method 26 is used</t>
        </is>
      </c>
      <c r="G37" s="15" t="inlineStr">
        <is>
          <t>Payment row</t>
        </is>
      </c>
      <c r="H37" s="15" t="inlineStr">
        <is>
          <t>Specified</t>
        </is>
      </c>
    </row>
    <row r="38" ht="46" customHeight="1">
      <c r="A38" s="12" t="inlineStr">
        <is>
          <t>III</t>
        </is>
      </c>
      <c r="B38" s="12" t="inlineStr">
        <is>
          <t>III.26.number</t>
        </is>
      </c>
      <c r="C38" s="12" t="inlineStr">
        <is>
          <t>Check: Reference number</t>
        </is>
      </c>
      <c r="D38" s="12" t="inlineStr">
        <is>
          <t>Payment</t>
        </is>
      </c>
      <c r="E38" s="12" t="inlineStr">
        <is>
          <t>Payment evidence</t>
        </is>
      </c>
      <c r="F38" s="12" t="inlineStr">
        <is>
          <t>Record only if method 26 is used</t>
        </is>
      </c>
      <c r="G38" s="12" t="inlineStr">
        <is>
          <t>Payment row</t>
        </is>
      </c>
      <c r="H38" s="12" t="inlineStr">
        <is>
          <t>Specified</t>
        </is>
      </c>
    </row>
    <row r="39" ht="46" customHeight="1">
      <c r="A39" s="15" t="inlineStr">
        <is>
          <t>III</t>
        </is>
      </c>
      <c r="B39" s="15" t="inlineStr">
        <is>
          <t>III.26.date</t>
        </is>
      </c>
      <c r="C39" s="15" t="inlineStr">
        <is>
          <t>Check: Payment date</t>
        </is>
      </c>
      <c r="D39" s="15" t="inlineStr">
        <is>
          <t>Payment</t>
        </is>
      </c>
      <c r="E39" s="15" t="inlineStr">
        <is>
          <t>Payment evidence</t>
        </is>
      </c>
      <c r="F39" s="15" t="inlineStr">
        <is>
          <t>Record only if method 26 is used</t>
        </is>
      </c>
      <c r="G39" s="15" t="inlineStr">
        <is>
          <t>Payment row</t>
        </is>
      </c>
      <c r="H39" s="15" t="inlineStr">
        <is>
          <t>Specified</t>
        </is>
      </c>
    </row>
    <row r="40" ht="46" customHeight="1">
      <c r="A40" s="12" t="inlineStr">
        <is>
          <t>III</t>
        </is>
      </c>
      <c r="B40" s="12" t="inlineStr">
        <is>
          <t>III.26.amount</t>
        </is>
      </c>
      <c r="C40" s="12" t="inlineStr">
        <is>
          <t>Check: Amount</t>
        </is>
      </c>
      <c r="D40" s="12" t="inlineStr">
        <is>
          <t>Payment</t>
        </is>
      </c>
      <c r="E40" s="12" t="inlineStr">
        <is>
          <t>Payment evidence</t>
        </is>
      </c>
      <c r="F40" s="12" t="inlineStr">
        <is>
          <t>Record only if method 26 is used</t>
        </is>
      </c>
      <c r="G40" s="12" t="inlineStr">
        <is>
          <t>Payment row</t>
        </is>
      </c>
      <c r="H40" s="12" t="inlineStr">
        <is>
          <t>Specified</t>
        </is>
      </c>
    </row>
    <row r="41" ht="46" customHeight="1">
      <c r="A41" s="15" t="inlineStr">
        <is>
          <t>III</t>
        </is>
      </c>
      <c r="B41" s="15" t="inlineStr">
        <is>
          <t>III.27.bank</t>
        </is>
      </c>
      <c r="C41" s="15" t="inlineStr">
        <is>
          <t>Tax debit memo: Drawee bank / agency</t>
        </is>
      </c>
      <c r="D41" s="15" t="inlineStr">
        <is>
          <t>Payment</t>
        </is>
      </c>
      <c r="E41" s="15" t="inlineStr">
        <is>
          <t>Payment evidence</t>
        </is>
      </c>
      <c r="F41" s="15" t="inlineStr">
        <is>
          <t>Record only if method 27 is used</t>
        </is>
      </c>
      <c r="G41" s="15" t="inlineStr">
        <is>
          <t>Payment row</t>
        </is>
      </c>
      <c r="H41" s="15" t="inlineStr">
        <is>
          <t>Specified</t>
        </is>
      </c>
    </row>
    <row r="42" ht="46" customHeight="1">
      <c r="A42" s="12" t="inlineStr">
        <is>
          <t>III</t>
        </is>
      </c>
      <c r="B42" s="12" t="inlineStr">
        <is>
          <t>III.27.number</t>
        </is>
      </c>
      <c r="C42" s="12" t="inlineStr">
        <is>
          <t>Tax debit memo: Reference number</t>
        </is>
      </c>
      <c r="D42" s="12" t="inlineStr">
        <is>
          <t>Payment</t>
        </is>
      </c>
      <c r="E42" s="12" t="inlineStr">
        <is>
          <t>Payment evidence</t>
        </is>
      </c>
      <c r="F42" s="12" t="inlineStr">
        <is>
          <t>Record only if method 27 is used</t>
        </is>
      </c>
      <c r="G42" s="12" t="inlineStr">
        <is>
          <t>Payment row</t>
        </is>
      </c>
      <c r="H42" s="12" t="inlineStr">
        <is>
          <t>Specified</t>
        </is>
      </c>
    </row>
    <row r="43" ht="46" customHeight="1">
      <c r="A43" s="15" t="inlineStr">
        <is>
          <t>III</t>
        </is>
      </c>
      <c r="B43" s="15" t="inlineStr">
        <is>
          <t>III.27.date</t>
        </is>
      </c>
      <c r="C43" s="15" t="inlineStr">
        <is>
          <t>Tax debit memo: Payment date</t>
        </is>
      </c>
      <c r="D43" s="15" t="inlineStr">
        <is>
          <t>Payment</t>
        </is>
      </c>
      <c r="E43" s="15" t="inlineStr">
        <is>
          <t>Payment evidence</t>
        </is>
      </c>
      <c r="F43" s="15" t="inlineStr">
        <is>
          <t>Record only if method 27 is used</t>
        </is>
      </c>
      <c r="G43" s="15" t="inlineStr">
        <is>
          <t>Payment row</t>
        </is>
      </c>
      <c r="H43" s="15" t="inlineStr">
        <is>
          <t>Specified</t>
        </is>
      </c>
    </row>
    <row r="44" ht="46" customHeight="1">
      <c r="A44" s="12" t="inlineStr">
        <is>
          <t>III</t>
        </is>
      </c>
      <c r="B44" s="12" t="inlineStr">
        <is>
          <t>III.27.amount</t>
        </is>
      </c>
      <c r="C44" s="12" t="inlineStr">
        <is>
          <t>Tax debit memo: Amount</t>
        </is>
      </c>
      <c r="D44" s="12" t="inlineStr">
        <is>
          <t>Payment</t>
        </is>
      </c>
      <c r="E44" s="12" t="inlineStr">
        <is>
          <t>Payment evidence</t>
        </is>
      </c>
      <c r="F44" s="12" t="inlineStr">
        <is>
          <t>Record only if method 27 is used</t>
        </is>
      </c>
      <c r="G44" s="12" t="inlineStr">
        <is>
          <t>Payment row</t>
        </is>
      </c>
      <c r="H44" s="12" t="inlineStr">
        <is>
          <t>Specified</t>
        </is>
      </c>
    </row>
    <row r="45" ht="46" customHeight="1">
      <c r="A45" s="15" t="inlineStr">
        <is>
          <t>III</t>
        </is>
      </c>
      <c r="B45" s="15" t="inlineStr">
        <is>
          <t>III.28.bank</t>
        </is>
      </c>
      <c r="C45" s="15" t="inlineStr">
        <is>
          <t>Other payment: Drawee bank / agency</t>
        </is>
      </c>
      <c r="D45" s="15" t="inlineStr">
        <is>
          <t>Payment</t>
        </is>
      </c>
      <c r="E45" s="15" t="inlineStr">
        <is>
          <t>Payment evidence</t>
        </is>
      </c>
      <c r="F45" s="15" t="inlineStr">
        <is>
          <t>Record only if method 28 is used</t>
        </is>
      </c>
      <c r="G45" s="15" t="inlineStr">
        <is>
          <t>Payment row</t>
        </is>
      </c>
      <c r="H45" s="15" t="inlineStr">
        <is>
          <t>Specified</t>
        </is>
      </c>
    </row>
    <row r="46" ht="46" customHeight="1">
      <c r="A46" s="12" t="inlineStr">
        <is>
          <t>III</t>
        </is>
      </c>
      <c r="B46" s="12" t="inlineStr">
        <is>
          <t>III.28.number</t>
        </is>
      </c>
      <c r="C46" s="12" t="inlineStr">
        <is>
          <t>Other payment: Reference number</t>
        </is>
      </c>
      <c r="D46" s="12" t="inlineStr">
        <is>
          <t>Payment</t>
        </is>
      </c>
      <c r="E46" s="12" t="inlineStr">
        <is>
          <t>Payment evidence</t>
        </is>
      </c>
      <c r="F46" s="12" t="inlineStr">
        <is>
          <t>Record only if method 28 is used</t>
        </is>
      </c>
      <c r="G46" s="12" t="inlineStr">
        <is>
          <t>Payment row</t>
        </is>
      </c>
      <c r="H46" s="12" t="inlineStr">
        <is>
          <t>Specified</t>
        </is>
      </c>
    </row>
    <row r="47" ht="46" customHeight="1">
      <c r="A47" s="15" t="inlineStr">
        <is>
          <t>III</t>
        </is>
      </c>
      <c r="B47" s="15" t="inlineStr">
        <is>
          <t>III.28.date</t>
        </is>
      </c>
      <c r="C47" s="15" t="inlineStr">
        <is>
          <t>Other payment: Payment date</t>
        </is>
      </c>
      <c r="D47" s="15" t="inlineStr">
        <is>
          <t>Payment</t>
        </is>
      </c>
      <c r="E47" s="15" t="inlineStr">
        <is>
          <t>Payment evidence</t>
        </is>
      </c>
      <c r="F47" s="15" t="inlineStr">
        <is>
          <t>Record only if method 28 is used</t>
        </is>
      </c>
      <c r="G47" s="15" t="inlineStr">
        <is>
          <t>Payment row</t>
        </is>
      </c>
      <c r="H47" s="15" t="inlineStr">
        <is>
          <t>Specified</t>
        </is>
      </c>
    </row>
    <row r="48" ht="46" customHeight="1">
      <c r="A48" s="12" t="inlineStr">
        <is>
          <t>III</t>
        </is>
      </c>
      <c r="B48" s="12" t="inlineStr">
        <is>
          <t>III.28.amount</t>
        </is>
      </c>
      <c r="C48" s="12" t="inlineStr">
        <is>
          <t>Other payment: Amount</t>
        </is>
      </c>
      <c r="D48" s="12" t="inlineStr">
        <is>
          <t>Payment</t>
        </is>
      </c>
      <c r="E48" s="12" t="inlineStr">
        <is>
          <t>Payment evidence</t>
        </is>
      </c>
      <c r="F48" s="12" t="inlineStr">
        <is>
          <t>Record only if method 28 is used</t>
        </is>
      </c>
      <c r="G48" s="12" t="inlineStr">
        <is>
          <t>Payment row</t>
        </is>
      </c>
      <c r="H48" s="12" t="inlineStr">
        <is>
          <t>Specified</t>
        </is>
      </c>
    </row>
    <row r="49" ht="46" customHeight="1">
      <c r="A49" s="15" t="inlineStr">
        <is>
          <t>Declaration</t>
        </is>
      </c>
      <c r="B49" s="15" t="inlineStr">
        <is>
          <t>DECL.signature</t>
        </is>
      </c>
      <c r="C49" s="15" t="inlineStr">
        <is>
          <t>Taxpayer / authorized representative signature, title and TIN</t>
        </is>
      </c>
      <c r="D49" s="15" t="inlineStr">
        <is>
          <t>Human</t>
        </is>
      </c>
      <c r="E49" s="15" t="inlineStr">
        <is>
          <t>Authorized signer</t>
        </is>
      </c>
      <c r="F49" s="15" t="inlineStr">
        <is>
          <t>Do not auto-sign</t>
        </is>
      </c>
      <c r="G49" s="15" t="inlineStr">
        <is>
          <t>Return</t>
        </is>
      </c>
      <c r="H49" s="15" t="inlineStr">
        <is>
          <t>Specified</t>
        </is>
      </c>
    </row>
    <row r="50" ht="46" customHeight="1">
      <c r="A50" s="12" t="inlineStr">
        <is>
          <t>Declaration</t>
        </is>
      </c>
      <c r="B50" s="12" t="inlineStr">
        <is>
          <t>DECL.agent</t>
        </is>
      </c>
      <c r="C50" s="12" t="inlineStr">
        <is>
          <t>Tax agent accreditation / attorney roll, issue and expiry</t>
        </is>
      </c>
      <c r="D50" s="12" t="inlineStr">
        <is>
          <t>Profile / manual</t>
        </is>
      </c>
      <c r="E50" s="12" t="inlineStr">
        <is>
          <t>Agent credentials</t>
        </is>
      </c>
      <c r="F50" s="12" t="inlineStr">
        <is>
          <t>If applicable</t>
        </is>
      </c>
      <c r="G50" s="12" t="inlineStr">
        <is>
          <t>Return</t>
        </is>
      </c>
      <c r="H50" s="12" t="inlineStr">
        <is>
          <t>Specified</t>
        </is>
      </c>
    </row>
    <row r="51" ht="46" customHeight="1">
      <c r="A51" s="15" t="inlineStr">
        <is>
          <t>Payment receipt</t>
        </is>
      </c>
      <c r="B51" s="15" t="inlineStr">
        <is>
          <t>RECEIPT</t>
        </is>
      </c>
      <c r="C51" s="15" t="inlineStr">
        <is>
          <t>Bank / ROR validation and receiving-office stamp</t>
        </is>
      </c>
      <c r="D51" s="15" t="inlineStr">
        <is>
          <t>Evidence</t>
        </is>
      </c>
      <c r="E51" s="15" t="inlineStr">
        <is>
          <t>Filing confirmation</t>
        </is>
      </c>
      <c r="F51" s="15" t="inlineStr">
        <is>
          <t>BIR / bank completion, not a category</t>
        </is>
      </c>
      <c r="G51" s="15" t="inlineStr">
        <is>
          <t>Return</t>
        </is>
      </c>
      <c r="H51" s="15" t="inlineStr">
        <is>
          <t>Specified</t>
        </is>
      </c>
    </row>
    <row r="52" ht="46" customHeight="1">
      <c r="A52" s="12" t="inlineStr">
        <is>
          <t>Schedule 1</t>
        </is>
      </c>
      <c r="B52" s="12" t="inlineStr">
        <is>
          <t>S1.1.ATC</t>
        </is>
      </c>
      <c r="C52" s="12" t="inlineStr">
        <is>
          <t>Row 1: ATC</t>
        </is>
      </c>
      <c r="D52" s="12" t="inlineStr">
        <is>
          <t>Tax attribute</t>
        </is>
      </c>
      <c r="E52" s="12" t="inlineStr">
        <is>
          <t>transaction.tax_code + active ATC catalog</t>
        </is>
      </c>
      <c r="F52" s="12" t="inlineStr">
        <is>
          <t>For example PT010 only if Section 116 applies</t>
        </is>
      </c>
      <c r="G52" s="12" t="inlineStr">
        <is>
          <t>ATC row</t>
        </is>
      </c>
      <c r="H52" s="12" t="inlineStr">
        <is>
          <t>Specified</t>
        </is>
      </c>
    </row>
    <row r="53" ht="46" customHeight="1">
      <c r="A53" s="15" t="inlineStr">
        <is>
          <t>Schedule 1</t>
        </is>
      </c>
      <c r="B53" s="15" t="inlineStr">
        <is>
          <t>S1.1.base</t>
        </is>
      </c>
      <c r="C53" s="15" t="inlineStr">
        <is>
          <t>Row 1: taxable amount</t>
        </is>
      </c>
      <c r="D53" s="15" t="inlineStr">
        <is>
          <t>Ledger + tax attributes</t>
        </is>
      </c>
      <c r="E53" s="15" t="inlineStr">
        <is>
          <t>Sales and adjustments for this ATC</t>
        </is>
      </c>
      <c r="F53" s="15" t="inlineStr">
        <is>
          <t>Quarter only; proper recognition and exemptions</t>
        </is>
      </c>
      <c r="G53" s="15" t="inlineStr">
        <is>
          <t>ATC row</t>
        </is>
      </c>
      <c r="H53" s="15" t="inlineStr">
        <is>
          <t>Specified</t>
        </is>
      </c>
    </row>
    <row r="54" ht="46" customHeight="1">
      <c r="A54" s="12" t="inlineStr">
        <is>
          <t>Schedule 1</t>
        </is>
      </c>
      <c r="B54" s="12" t="inlineStr">
        <is>
          <t>S1.1.rate</t>
        </is>
      </c>
      <c r="C54" s="12" t="inlineStr">
        <is>
          <t>Row 1: tax rate</t>
        </is>
      </c>
      <c r="D54" s="12" t="inlineStr">
        <is>
          <t>Reference data</t>
        </is>
      </c>
      <c r="E54" s="12" t="inlineStr">
        <is>
          <t>Effective-dated ATC rate</t>
        </is>
      </c>
      <c r="F54" s="12" t="inlineStr">
        <is>
          <t>Do not assume all industries use 3%</t>
        </is>
      </c>
      <c r="G54" s="12" t="inlineStr">
        <is>
          <t>ATC row</t>
        </is>
      </c>
      <c r="H54" s="12" t="inlineStr">
        <is>
          <t>Specified</t>
        </is>
      </c>
    </row>
    <row r="55" ht="46" customHeight="1">
      <c r="A55" s="15" t="inlineStr">
        <is>
          <t>Schedule 1</t>
        </is>
      </c>
      <c r="B55" s="15" t="inlineStr">
        <is>
          <t>S1.1.tax</t>
        </is>
      </c>
      <c r="C55" s="15" t="inlineStr">
        <is>
          <t>Row 1: tax due</t>
        </is>
      </c>
      <c r="D55" s="15" t="inlineStr">
        <is>
          <t>Calculated</t>
        </is>
      </c>
      <c r="E55" s="15" t="inlineStr">
        <is>
          <t>S1.1.base × S1.1.rate</t>
        </is>
      </c>
      <c r="F55" s="15" t="inlineStr">
        <is>
          <t>Apply form rounding and reviewed rule</t>
        </is>
      </c>
      <c r="G55" s="15" t="inlineStr">
        <is>
          <t>ATC row</t>
        </is>
      </c>
      <c r="H55" s="15" t="inlineStr">
        <is>
          <t>Specified</t>
        </is>
      </c>
    </row>
    <row r="56" ht="46" customHeight="1">
      <c r="A56" s="12" t="inlineStr">
        <is>
          <t>Schedule 1</t>
        </is>
      </c>
      <c r="B56" s="12" t="inlineStr">
        <is>
          <t>S1.2.ATC</t>
        </is>
      </c>
      <c r="C56" s="12" t="inlineStr">
        <is>
          <t>Row 2: ATC</t>
        </is>
      </c>
      <c r="D56" s="12" t="inlineStr">
        <is>
          <t>Tax attribute</t>
        </is>
      </c>
      <c r="E56" s="12" t="inlineStr">
        <is>
          <t>transaction.tax_code + active ATC catalog</t>
        </is>
      </c>
      <c r="F56" s="12" t="inlineStr">
        <is>
          <t>For example PT010 only if Section 116 applies</t>
        </is>
      </c>
      <c r="G56" s="12" t="inlineStr">
        <is>
          <t>ATC row</t>
        </is>
      </c>
      <c r="H56" s="12" t="inlineStr">
        <is>
          <t>Specified</t>
        </is>
      </c>
    </row>
    <row r="57" ht="46" customHeight="1">
      <c r="A57" s="15" t="inlineStr">
        <is>
          <t>Schedule 1</t>
        </is>
      </c>
      <c r="B57" s="15" t="inlineStr">
        <is>
          <t>S1.2.base</t>
        </is>
      </c>
      <c r="C57" s="15" t="inlineStr">
        <is>
          <t>Row 2: taxable amount</t>
        </is>
      </c>
      <c r="D57" s="15" t="inlineStr">
        <is>
          <t>Ledger + tax attributes</t>
        </is>
      </c>
      <c r="E57" s="15" t="inlineStr">
        <is>
          <t>Sales and adjustments for this ATC</t>
        </is>
      </c>
      <c r="F57" s="15" t="inlineStr">
        <is>
          <t>Quarter only; proper recognition and exemptions</t>
        </is>
      </c>
      <c r="G57" s="15" t="inlineStr">
        <is>
          <t>ATC row</t>
        </is>
      </c>
      <c r="H57" s="15" t="inlineStr">
        <is>
          <t>Specified</t>
        </is>
      </c>
    </row>
    <row r="58" ht="46" customHeight="1">
      <c r="A58" s="12" t="inlineStr">
        <is>
          <t>Schedule 1</t>
        </is>
      </c>
      <c r="B58" s="12" t="inlineStr">
        <is>
          <t>S1.2.rate</t>
        </is>
      </c>
      <c r="C58" s="12" t="inlineStr">
        <is>
          <t>Row 2: tax rate</t>
        </is>
      </c>
      <c r="D58" s="12" t="inlineStr">
        <is>
          <t>Reference data</t>
        </is>
      </c>
      <c r="E58" s="12" t="inlineStr">
        <is>
          <t>Effective-dated ATC rate</t>
        </is>
      </c>
      <c r="F58" s="12" t="inlineStr">
        <is>
          <t>Do not assume all industries use 3%</t>
        </is>
      </c>
      <c r="G58" s="12" t="inlineStr">
        <is>
          <t>ATC row</t>
        </is>
      </c>
      <c r="H58" s="12" t="inlineStr">
        <is>
          <t>Specified</t>
        </is>
      </c>
    </row>
    <row r="59" ht="46" customHeight="1">
      <c r="A59" s="15" t="inlineStr">
        <is>
          <t>Schedule 1</t>
        </is>
      </c>
      <c r="B59" s="15" t="inlineStr">
        <is>
          <t>S1.2.tax</t>
        </is>
      </c>
      <c r="C59" s="15" t="inlineStr">
        <is>
          <t>Row 2: tax due</t>
        </is>
      </c>
      <c r="D59" s="15" t="inlineStr">
        <is>
          <t>Calculated</t>
        </is>
      </c>
      <c r="E59" s="15" t="inlineStr">
        <is>
          <t>S1.2.base × S1.2.rate</t>
        </is>
      </c>
      <c r="F59" s="15" t="inlineStr">
        <is>
          <t>Apply form rounding and reviewed rule</t>
        </is>
      </c>
      <c r="G59" s="15" t="inlineStr">
        <is>
          <t>ATC row</t>
        </is>
      </c>
      <c r="H59" s="15" t="inlineStr">
        <is>
          <t>Specified</t>
        </is>
      </c>
    </row>
    <row r="60" ht="46" customHeight="1">
      <c r="A60" s="12" t="inlineStr">
        <is>
          <t>Schedule 1</t>
        </is>
      </c>
      <c r="B60" s="12" t="inlineStr">
        <is>
          <t>S1.3.ATC</t>
        </is>
      </c>
      <c r="C60" s="12" t="inlineStr">
        <is>
          <t>Row 3: ATC</t>
        </is>
      </c>
      <c r="D60" s="12" t="inlineStr">
        <is>
          <t>Tax attribute</t>
        </is>
      </c>
      <c r="E60" s="12" t="inlineStr">
        <is>
          <t>transaction.tax_code + active ATC catalog</t>
        </is>
      </c>
      <c r="F60" s="12" t="inlineStr">
        <is>
          <t>For example PT010 only if Section 116 applies</t>
        </is>
      </c>
      <c r="G60" s="12" t="inlineStr">
        <is>
          <t>ATC row</t>
        </is>
      </c>
      <c r="H60" s="12" t="inlineStr">
        <is>
          <t>Specified</t>
        </is>
      </c>
    </row>
    <row r="61" ht="46" customHeight="1">
      <c r="A61" s="15" t="inlineStr">
        <is>
          <t>Schedule 1</t>
        </is>
      </c>
      <c r="B61" s="15" t="inlineStr">
        <is>
          <t>S1.3.base</t>
        </is>
      </c>
      <c r="C61" s="15" t="inlineStr">
        <is>
          <t>Row 3: taxable amount</t>
        </is>
      </c>
      <c r="D61" s="15" t="inlineStr">
        <is>
          <t>Ledger + tax attributes</t>
        </is>
      </c>
      <c r="E61" s="15" t="inlineStr">
        <is>
          <t>Sales and adjustments for this ATC</t>
        </is>
      </c>
      <c r="F61" s="15" t="inlineStr">
        <is>
          <t>Quarter only; proper recognition and exemptions</t>
        </is>
      </c>
      <c r="G61" s="15" t="inlineStr">
        <is>
          <t>ATC row</t>
        </is>
      </c>
      <c r="H61" s="15" t="inlineStr">
        <is>
          <t>Specified</t>
        </is>
      </c>
    </row>
    <row r="62" ht="46" customHeight="1">
      <c r="A62" s="12" t="inlineStr">
        <is>
          <t>Schedule 1</t>
        </is>
      </c>
      <c r="B62" s="12" t="inlineStr">
        <is>
          <t>S1.3.rate</t>
        </is>
      </c>
      <c r="C62" s="12" t="inlineStr">
        <is>
          <t>Row 3: tax rate</t>
        </is>
      </c>
      <c r="D62" s="12" t="inlineStr">
        <is>
          <t>Reference data</t>
        </is>
      </c>
      <c r="E62" s="12" t="inlineStr">
        <is>
          <t>Effective-dated ATC rate</t>
        </is>
      </c>
      <c r="F62" s="12" t="inlineStr">
        <is>
          <t>Do not assume all industries use 3%</t>
        </is>
      </c>
      <c r="G62" s="12" t="inlineStr">
        <is>
          <t>ATC row</t>
        </is>
      </c>
      <c r="H62" s="12" t="inlineStr">
        <is>
          <t>Specified</t>
        </is>
      </c>
    </row>
    <row r="63" ht="46" customHeight="1">
      <c r="A63" s="15" t="inlineStr">
        <is>
          <t>Schedule 1</t>
        </is>
      </c>
      <c r="B63" s="15" t="inlineStr">
        <is>
          <t>S1.3.tax</t>
        </is>
      </c>
      <c r="C63" s="15" t="inlineStr">
        <is>
          <t>Row 3: tax due</t>
        </is>
      </c>
      <c r="D63" s="15" t="inlineStr">
        <is>
          <t>Calculated</t>
        </is>
      </c>
      <c r="E63" s="15" t="inlineStr">
        <is>
          <t>S1.3.base × S1.3.rate</t>
        </is>
      </c>
      <c r="F63" s="15" t="inlineStr">
        <is>
          <t>Apply form rounding and reviewed rule</t>
        </is>
      </c>
      <c r="G63" s="15" t="inlineStr">
        <is>
          <t>ATC row</t>
        </is>
      </c>
      <c r="H63" s="15" t="inlineStr">
        <is>
          <t>Specified</t>
        </is>
      </c>
    </row>
    <row r="64" ht="46" customHeight="1">
      <c r="A64" s="12" t="inlineStr">
        <is>
          <t>Schedule 1</t>
        </is>
      </c>
      <c r="B64" s="12" t="inlineStr">
        <is>
          <t>S1.4.ATC</t>
        </is>
      </c>
      <c r="C64" s="12" t="inlineStr">
        <is>
          <t>Row 4: ATC</t>
        </is>
      </c>
      <c r="D64" s="12" t="inlineStr">
        <is>
          <t>Tax attribute</t>
        </is>
      </c>
      <c r="E64" s="12" t="inlineStr">
        <is>
          <t>transaction.tax_code + active ATC catalog</t>
        </is>
      </c>
      <c r="F64" s="12" t="inlineStr">
        <is>
          <t>For example PT010 only if Section 116 applies</t>
        </is>
      </c>
      <c r="G64" s="12" t="inlineStr">
        <is>
          <t>ATC row</t>
        </is>
      </c>
      <c r="H64" s="12" t="inlineStr">
        <is>
          <t>Specified</t>
        </is>
      </c>
    </row>
    <row r="65" ht="46" customHeight="1">
      <c r="A65" s="15" t="inlineStr">
        <is>
          <t>Schedule 1</t>
        </is>
      </c>
      <c r="B65" s="15" t="inlineStr">
        <is>
          <t>S1.4.base</t>
        </is>
      </c>
      <c r="C65" s="15" t="inlineStr">
        <is>
          <t>Row 4: taxable amount</t>
        </is>
      </c>
      <c r="D65" s="15" t="inlineStr">
        <is>
          <t>Ledger + tax attributes</t>
        </is>
      </c>
      <c r="E65" s="15" t="inlineStr">
        <is>
          <t>Sales and adjustments for this ATC</t>
        </is>
      </c>
      <c r="F65" s="15" t="inlineStr">
        <is>
          <t>Quarter only; proper recognition and exemptions</t>
        </is>
      </c>
      <c r="G65" s="15" t="inlineStr">
        <is>
          <t>ATC row</t>
        </is>
      </c>
      <c r="H65" s="15" t="inlineStr">
        <is>
          <t>Specified</t>
        </is>
      </c>
    </row>
    <row r="66" ht="46" customHeight="1">
      <c r="A66" s="12" t="inlineStr">
        <is>
          <t>Schedule 1</t>
        </is>
      </c>
      <c r="B66" s="12" t="inlineStr">
        <is>
          <t>S1.4.rate</t>
        </is>
      </c>
      <c r="C66" s="12" t="inlineStr">
        <is>
          <t>Row 4: tax rate</t>
        </is>
      </c>
      <c r="D66" s="12" t="inlineStr">
        <is>
          <t>Reference data</t>
        </is>
      </c>
      <c r="E66" s="12" t="inlineStr">
        <is>
          <t>Effective-dated ATC rate</t>
        </is>
      </c>
      <c r="F66" s="12" t="inlineStr">
        <is>
          <t>Do not assume all industries use 3%</t>
        </is>
      </c>
      <c r="G66" s="12" t="inlineStr">
        <is>
          <t>ATC row</t>
        </is>
      </c>
      <c r="H66" s="12" t="inlineStr">
        <is>
          <t>Specified</t>
        </is>
      </c>
    </row>
    <row r="67" ht="46" customHeight="1">
      <c r="A67" s="15" t="inlineStr">
        <is>
          <t>Schedule 1</t>
        </is>
      </c>
      <c r="B67" s="15" t="inlineStr">
        <is>
          <t>S1.4.tax</t>
        </is>
      </c>
      <c r="C67" s="15" t="inlineStr">
        <is>
          <t>Row 4: tax due</t>
        </is>
      </c>
      <c r="D67" s="15" t="inlineStr">
        <is>
          <t>Calculated</t>
        </is>
      </c>
      <c r="E67" s="15" t="inlineStr">
        <is>
          <t>S1.4.base × S1.4.rate</t>
        </is>
      </c>
      <c r="F67" s="15" t="inlineStr">
        <is>
          <t>Apply form rounding and reviewed rule</t>
        </is>
      </c>
      <c r="G67" s="15" t="inlineStr">
        <is>
          <t>ATC row</t>
        </is>
      </c>
      <c r="H67" s="15" t="inlineStr">
        <is>
          <t>Specified</t>
        </is>
      </c>
    </row>
    <row r="68" ht="46" customHeight="1">
      <c r="A68" s="12" t="inlineStr">
        <is>
          <t>Schedule 1</t>
        </is>
      </c>
      <c r="B68" s="12" t="inlineStr">
        <is>
          <t>S1.5.ATC</t>
        </is>
      </c>
      <c r="C68" s="12" t="inlineStr">
        <is>
          <t>Row 5: ATC</t>
        </is>
      </c>
      <c r="D68" s="12" t="inlineStr">
        <is>
          <t>Tax attribute</t>
        </is>
      </c>
      <c r="E68" s="12" t="inlineStr">
        <is>
          <t>transaction.tax_code + active ATC catalog</t>
        </is>
      </c>
      <c r="F68" s="12" t="inlineStr">
        <is>
          <t>For example PT010 only if Section 116 applies</t>
        </is>
      </c>
      <c r="G68" s="12" t="inlineStr">
        <is>
          <t>ATC row</t>
        </is>
      </c>
      <c r="H68" s="12" t="inlineStr">
        <is>
          <t>Specified</t>
        </is>
      </c>
    </row>
    <row r="69" ht="46" customHeight="1">
      <c r="A69" s="15" t="inlineStr">
        <is>
          <t>Schedule 1</t>
        </is>
      </c>
      <c r="B69" s="15" t="inlineStr">
        <is>
          <t>S1.5.base</t>
        </is>
      </c>
      <c r="C69" s="15" t="inlineStr">
        <is>
          <t>Row 5: taxable amount</t>
        </is>
      </c>
      <c r="D69" s="15" t="inlineStr">
        <is>
          <t>Ledger + tax attributes</t>
        </is>
      </c>
      <c r="E69" s="15" t="inlineStr">
        <is>
          <t>Sales and adjustments for this ATC</t>
        </is>
      </c>
      <c r="F69" s="15" t="inlineStr">
        <is>
          <t>Quarter only; proper recognition and exemptions</t>
        </is>
      </c>
      <c r="G69" s="15" t="inlineStr">
        <is>
          <t>ATC row</t>
        </is>
      </c>
      <c r="H69" s="15" t="inlineStr">
        <is>
          <t>Specified</t>
        </is>
      </c>
    </row>
    <row r="70" ht="46" customHeight="1">
      <c r="A70" s="12" t="inlineStr">
        <is>
          <t>Schedule 1</t>
        </is>
      </c>
      <c r="B70" s="12" t="inlineStr">
        <is>
          <t>S1.5.rate</t>
        </is>
      </c>
      <c r="C70" s="12" t="inlineStr">
        <is>
          <t>Row 5: tax rate</t>
        </is>
      </c>
      <c r="D70" s="12" t="inlineStr">
        <is>
          <t>Reference data</t>
        </is>
      </c>
      <c r="E70" s="12" t="inlineStr">
        <is>
          <t>Effective-dated ATC rate</t>
        </is>
      </c>
      <c r="F70" s="12" t="inlineStr">
        <is>
          <t>Do not assume all industries use 3%</t>
        </is>
      </c>
      <c r="G70" s="12" t="inlineStr">
        <is>
          <t>ATC row</t>
        </is>
      </c>
      <c r="H70" s="12" t="inlineStr">
        <is>
          <t>Specified</t>
        </is>
      </c>
    </row>
    <row r="71" ht="46" customHeight="1">
      <c r="A71" s="15" t="inlineStr">
        <is>
          <t>Schedule 1</t>
        </is>
      </c>
      <c r="B71" s="15" t="inlineStr">
        <is>
          <t>S1.5.tax</t>
        </is>
      </c>
      <c r="C71" s="15" t="inlineStr">
        <is>
          <t>Row 5: tax due</t>
        </is>
      </c>
      <c r="D71" s="15" t="inlineStr">
        <is>
          <t>Calculated</t>
        </is>
      </c>
      <c r="E71" s="15" t="inlineStr">
        <is>
          <t>S1.5.base × S1.5.rate</t>
        </is>
      </c>
      <c r="F71" s="15" t="inlineStr">
        <is>
          <t>Apply form rounding and reviewed rule</t>
        </is>
      </c>
      <c r="G71" s="15" t="inlineStr">
        <is>
          <t>ATC row</t>
        </is>
      </c>
      <c r="H71" s="15" t="inlineStr">
        <is>
          <t>Specified</t>
        </is>
      </c>
    </row>
    <row r="72" ht="46" customHeight="1">
      <c r="A72" s="12" t="inlineStr">
        <is>
          <t>Schedule 1</t>
        </is>
      </c>
      <c r="B72" s="12" t="inlineStr">
        <is>
          <t>S1.6.ATC</t>
        </is>
      </c>
      <c r="C72" s="12" t="inlineStr">
        <is>
          <t>Row 6: ATC</t>
        </is>
      </c>
      <c r="D72" s="12" t="inlineStr">
        <is>
          <t>Tax attribute</t>
        </is>
      </c>
      <c r="E72" s="12" t="inlineStr">
        <is>
          <t>transaction.tax_code + active ATC catalog</t>
        </is>
      </c>
      <c r="F72" s="12" t="inlineStr">
        <is>
          <t>For example PT010 only if Section 116 applies</t>
        </is>
      </c>
      <c r="G72" s="12" t="inlineStr">
        <is>
          <t>ATC row</t>
        </is>
      </c>
      <c r="H72" s="12" t="inlineStr">
        <is>
          <t>Specified</t>
        </is>
      </c>
    </row>
    <row r="73" ht="46" customHeight="1">
      <c r="A73" s="15" t="inlineStr">
        <is>
          <t>Schedule 1</t>
        </is>
      </c>
      <c r="B73" s="15" t="inlineStr">
        <is>
          <t>S1.6.base</t>
        </is>
      </c>
      <c r="C73" s="15" t="inlineStr">
        <is>
          <t>Row 6: taxable amount</t>
        </is>
      </c>
      <c r="D73" s="15" t="inlineStr">
        <is>
          <t>Ledger + tax attributes</t>
        </is>
      </c>
      <c r="E73" s="15" t="inlineStr">
        <is>
          <t>Sales and adjustments for this ATC</t>
        </is>
      </c>
      <c r="F73" s="15" t="inlineStr">
        <is>
          <t>Quarter only; proper recognition and exemptions</t>
        </is>
      </c>
      <c r="G73" s="15" t="inlineStr">
        <is>
          <t>ATC row</t>
        </is>
      </c>
      <c r="H73" s="15" t="inlineStr">
        <is>
          <t>Specified</t>
        </is>
      </c>
    </row>
    <row r="74" ht="46" customHeight="1">
      <c r="A74" s="12" t="inlineStr">
        <is>
          <t>Schedule 1</t>
        </is>
      </c>
      <c r="B74" s="12" t="inlineStr">
        <is>
          <t>S1.6.rate</t>
        </is>
      </c>
      <c r="C74" s="12" t="inlineStr">
        <is>
          <t>Row 6: tax rate</t>
        </is>
      </c>
      <c r="D74" s="12" t="inlineStr">
        <is>
          <t>Reference data</t>
        </is>
      </c>
      <c r="E74" s="12" t="inlineStr">
        <is>
          <t>Effective-dated ATC rate</t>
        </is>
      </c>
      <c r="F74" s="12" t="inlineStr">
        <is>
          <t>Do not assume all industries use 3%</t>
        </is>
      </c>
      <c r="G74" s="12" t="inlineStr">
        <is>
          <t>ATC row</t>
        </is>
      </c>
      <c r="H74" s="12" t="inlineStr">
        <is>
          <t>Specified</t>
        </is>
      </c>
    </row>
    <row r="75" ht="46" customHeight="1">
      <c r="A75" s="15" t="inlineStr">
        <is>
          <t>Schedule 1</t>
        </is>
      </c>
      <c r="B75" s="15" t="inlineStr">
        <is>
          <t>S1.6.tax</t>
        </is>
      </c>
      <c r="C75" s="15" t="inlineStr">
        <is>
          <t>Row 6: tax due</t>
        </is>
      </c>
      <c r="D75" s="15" t="inlineStr">
        <is>
          <t>Calculated</t>
        </is>
      </c>
      <c r="E75" s="15" t="inlineStr">
        <is>
          <t>S1.6.base × S1.6.rate</t>
        </is>
      </c>
      <c r="F75" s="15" t="inlineStr">
        <is>
          <t>Apply form rounding and reviewed rule</t>
        </is>
      </c>
      <c r="G75" s="15" t="inlineStr">
        <is>
          <t>ATC row</t>
        </is>
      </c>
      <c r="H75" s="15" t="inlineStr">
        <is>
          <t>Specified</t>
        </is>
      </c>
    </row>
    <row r="76" ht="46" customHeight="1">
      <c r="A76" s="12" t="inlineStr">
        <is>
          <t>Schedule 1</t>
        </is>
      </c>
      <c r="B76" s="12" t="inlineStr">
        <is>
          <t>S1.7</t>
        </is>
      </c>
      <c r="C76" s="12" t="inlineStr">
        <is>
          <t>Total tax due</t>
        </is>
      </c>
      <c r="D76" s="12" t="inlineStr">
        <is>
          <t>Calculated</t>
        </is>
      </c>
      <c r="E76" s="12" t="inlineStr">
        <is>
          <t>Sum S1 rows 1–6 and additional sheets</t>
        </is>
      </c>
      <c r="F76" s="12" t="inlineStr">
        <is>
          <t>Carries to II.14</t>
        </is>
      </c>
      <c r="G76" s="12" t="inlineStr">
        <is>
          <t>Return</t>
        </is>
      </c>
      <c r="H76" s="12" t="inlineStr">
        <is>
          <t>Specified</t>
        </is>
      </c>
    </row>
    <row r="77">
      <c r="A77" s="12" t="inlineStr">
        <is>
          <t>III</t>
        </is>
      </c>
      <c r="B77" s="12" t="inlineStr">
        <is>
          <t>III.28.particular</t>
        </is>
      </c>
      <c r="C77" s="12" t="inlineStr">
        <is>
          <t>Other payment: particulars (Particular 28; key txtParticular28)</t>
        </is>
      </c>
      <c r="D77" s="12" t="inlineStr">
        <is>
          <t>Payment</t>
        </is>
      </c>
      <c r="E77" s="12" t="inlineStr">
        <is>
          <t>Payment evidence</t>
        </is>
      </c>
      <c r="F77" s="12" t="inlineStr">
        <is>
          <t>Record only if method 28 is used; unmapped in pinned schema (verify s4)</t>
        </is>
      </c>
      <c r="G77" s="12" t="inlineStr">
        <is>
          <t>Payment row</t>
        </is>
      </c>
      <c r="H77" s="12" t="inlineStr">
        <is>
          <t>Specified; added by correction 29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21" customWidth="1" min="2" max="2"/>
    <col width="44" customWidth="1" min="3" max="3"/>
    <col width="22" customWidth="1" min="4" max="4"/>
    <col width="42" customWidth="1" min="5" max="5"/>
    <col width="55" customWidth="1" min="6" max="6"/>
    <col width="20" customWidth="1" min="7" max="7"/>
    <col width="18" customWidth="1" min="8" max="8"/>
  </cols>
  <sheetData>
    <row r="1" ht="24" customHeight="1">
      <c r="A1" s="1" t="inlineStr">
        <is>
          <t>1601-C field dictionary</t>
        </is>
      </c>
    </row>
    <row r="2" ht="24" customHeight="1">
      <c r="A2" s="2" t="inlineStr">
        <is>
          <t>January 2018 (ENCS). These are employer filings; a business owner’s salary is a different dataset.</t>
        </is>
      </c>
    </row>
    <row r="3" ht="24" customHeight="1">
      <c r="A3" s="3" t="inlineStr">
        <is>
          <t>Employer contribution totals cannot replace the employee-share detail in item 19. Official source S2.</t>
        </is>
      </c>
    </row>
    <row r="5" ht="32" customHeight="1">
      <c r="A5" s="14" t="inlineStr">
        <is>
          <t>Section</t>
        </is>
      </c>
      <c r="B5" s="14" t="inlineStr">
        <is>
          <t>Field ID</t>
        </is>
      </c>
      <c r="C5" s="14" t="inlineStr">
        <is>
          <t>BIR field</t>
        </is>
      </c>
      <c r="D5" s="14" t="inlineStr">
        <is>
          <t>Origin</t>
        </is>
      </c>
      <c r="E5" s="14" t="inlineStr">
        <is>
          <t>Source / data</t>
        </is>
      </c>
      <c r="F5" s="14" t="inlineStr">
        <is>
          <t>Rule or condition</t>
        </is>
      </c>
      <c r="G5" s="14" t="inlineStr">
        <is>
          <t>Grain</t>
        </is>
      </c>
      <c r="H5" s="14" t="inlineStr">
        <is>
          <t>Status</t>
        </is>
      </c>
    </row>
    <row r="6" ht="46" customHeight="1">
      <c r="A6" s="12" t="inlineStr">
        <is>
          <t>Header</t>
        </is>
      </c>
      <c r="B6" s="12" t="inlineStr">
        <is>
          <t>H.1</t>
        </is>
      </c>
      <c r="C6" s="12" t="inlineStr">
        <is>
          <t>For the month (MM/YYYY)</t>
        </is>
      </c>
      <c r="D6" s="12" t="inlineStr">
        <is>
          <t>Period</t>
        </is>
      </c>
      <c r="E6" s="12" t="inlineStr">
        <is>
          <t>Filing period</t>
        </is>
      </c>
      <c r="F6" s="12" t="inlineStr">
        <is>
          <t>Monthly</t>
        </is>
      </c>
      <c r="G6" s="12" t="inlineStr">
        <is>
          <t>Return</t>
        </is>
      </c>
      <c r="H6" s="12" t="inlineStr">
        <is>
          <t>Specified</t>
        </is>
      </c>
    </row>
    <row r="7" ht="46" customHeight="1">
      <c r="A7" s="15" t="inlineStr">
        <is>
          <t>Header</t>
        </is>
      </c>
      <c r="B7" s="15" t="inlineStr">
        <is>
          <t>H.2</t>
        </is>
      </c>
      <c r="C7" s="15" t="inlineStr">
        <is>
          <t>Amended return?</t>
        </is>
      </c>
      <c r="D7" s="15" t="inlineStr">
        <is>
          <t>Filing</t>
        </is>
      </c>
      <c r="E7" s="15" t="inlineStr">
        <is>
          <t>Return version</t>
        </is>
      </c>
      <c r="F7" s="15" t="inlineStr">
        <is>
          <t>Link original</t>
        </is>
      </c>
      <c r="G7" s="15" t="inlineStr">
        <is>
          <t>Return</t>
        </is>
      </c>
      <c r="H7" s="15" t="inlineStr">
        <is>
          <t>Specified</t>
        </is>
      </c>
    </row>
    <row r="8" ht="46" customHeight="1">
      <c r="A8" s="12" t="inlineStr">
        <is>
          <t>Header</t>
        </is>
      </c>
      <c r="B8" s="12" t="inlineStr">
        <is>
          <t>H.3</t>
        </is>
      </c>
      <c r="C8" s="12" t="inlineStr">
        <is>
          <t>Any taxes withheld?</t>
        </is>
      </c>
      <c r="D8" s="12" t="inlineStr">
        <is>
          <t>Payroll / filing</t>
        </is>
      </c>
      <c r="E8" s="12" t="inlineStr">
        <is>
          <t>Withholding detail</t>
        </is>
      </c>
      <c r="F8" s="12" t="inlineStr">
        <is>
          <t>Confirm zero payroll vs no withholding</t>
        </is>
      </c>
      <c r="G8" s="12" t="inlineStr">
        <is>
          <t>Return</t>
        </is>
      </c>
      <c r="H8" s="12" t="inlineStr">
        <is>
          <t>Specified</t>
        </is>
      </c>
    </row>
    <row r="9" ht="46" customHeight="1">
      <c r="A9" s="15" t="inlineStr">
        <is>
          <t>Header</t>
        </is>
      </c>
      <c r="B9" s="15" t="inlineStr">
        <is>
          <t>H.4</t>
        </is>
      </c>
      <c r="C9" s="15" t="inlineStr">
        <is>
          <t>Number of sheets attached</t>
        </is>
      </c>
      <c r="D9" s="15" t="inlineStr">
        <is>
          <t>Filing</t>
        </is>
      </c>
      <c r="E9" s="15" t="inlineStr">
        <is>
          <t>Attachment records</t>
        </is>
      </c>
      <c r="F9" s="15" t="inlineStr">
        <is>
          <t>Count submitted</t>
        </is>
      </c>
      <c r="G9" s="15" t="inlineStr">
        <is>
          <t>Return</t>
        </is>
      </c>
      <c r="H9" s="15" t="inlineStr">
        <is>
          <t>Specified</t>
        </is>
      </c>
    </row>
    <row r="10" ht="46" customHeight="1">
      <c r="A10" s="12" t="inlineStr">
        <is>
          <t>Header</t>
        </is>
      </c>
      <c r="B10" s="12" t="inlineStr">
        <is>
          <t>H.5</t>
        </is>
      </c>
      <c r="C10" s="12" t="inlineStr">
        <is>
          <t>ATC</t>
        </is>
      </c>
      <c r="D10" s="12" t="inlineStr">
        <is>
          <t>Reference</t>
        </is>
      </c>
      <c r="E10" s="12" t="inlineStr">
        <is>
          <t>WW010</t>
        </is>
      </c>
      <c r="F10" s="12" t="inlineStr">
        <is>
          <t>Compensation withholding</t>
        </is>
      </c>
      <c r="G10" s="12" t="inlineStr">
        <is>
          <t>Return</t>
        </is>
      </c>
      <c r="H10" s="12" t="inlineStr">
        <is>
          <t>Specified</t>
        </is>
      </c>
    </row>
    <row r="11" ht="46" customHeight="1">
      <c r="A11" s="15" t="inlineStr">
        <is>
          <t>I</t>
        </is>
      </c>
      <c r="B11" s="15" t="inlineStr">
        <is>
          <t>I.6</t>
        </is>
      </c>
      <c r="C11" s="15" t="inlineStr">
        <is>
          <t>Taxpayer identification number</t>
        </is>
      </c>
      <c r="D11" s="15" t="inlineStr">
        <is>
          <t>Profile</t>
        </is>
      </c>
      <c r="E11" s="15" t="inlineStr">
        <is>
          <t>org_tax_profiles.tin + branchCode</t>
        </is>
      </c>
      <c r="F11" s="15" t="inlineStr">
        <is>
          <t>Employer / withholding agent</t>
        </is>
      </c>
      <c r="G11" s="15" t="inlineStr">
        <is>
          <t>Return</t>
        </is>
      </c>
      <c r="H11" s="15" t="inlineStr">
        <is>
          <t>Specified</t>
        </is>
      </c>
    </row>
    <row r="12" ht="46" customHeight="1">
      <c r="A12" s="12" t="inlineStr">
        <is>
          <t>I</t>
        </is>
      </c>
      <c r="B12" s="12" t="inlineStr">
        <is>
          <t>I.7</t>
        </is>
      </c>
      <c r="C12" s="12" t="inlineStr">
        <is>
          <t>RDO code</t>
        </is>
      </c>
      <c r="D12" s="12" t="inlineStr">
        <is>
          <t>Profile</t>
        </is>
      </c>
      <c r="E12" s="12" t="inlineStr">
        <is>
          <t>org_tax_profiles.rdoCode</t>
        </is>
      </c>
      <c r="F12" s="12" t="inlineStr">
        <is>
          <t>Employer registration</t>
        </is>
      </c>
      <c r="G12" s="12" t="inlineStr">
        <is>
          <t>Return</t>
        </is>
      </c>
      <c r="H12" s="12" t="inlineStr">
        <is>
          <t>Specified</t>
        </is>
      </c>
    </row>
    <row r="13" ht="46" customHeight="1">
      <c r="A13" s="15" t="inlineStr">
        <is>
          <t>I</t>
        </is>
      </c>
      <c r="B13" s="15" t="inlineStr">
        <is>
          <t>I.8</t>
        </is>
      </c>
      <c r="C13" s="15" t="inlineStr">
        <is>
          <t>Withholding agent name</t>
        </is>
      </c>
      <c r="D13" s="15" t="inlineStr">
        <is>
          <t>Profile</t>
        </is>
      </c>
      <c r="E13" s="15" t="inlineStr">
        <is>
          <t>registeredName</t>
        </is>
      </c>
      <c r="F13" s="15" t="inlineStr">
        <is>
          <t>Employer, not employee</t>
        </is>
      </c>
      <c r="G13" s="15" t="inlineStr">
        <is>
          <t>Return</t>
        </is>
      </c>
      <c r="H13" s="15" t="inlineStr">
        <is>
          <t>Specified</t>
        </is>
      </c>
    </row>
    <row r="14" ht="46" customHeight="1">
      <c r="A14" s="12" t="inlineStr">
        <is>
          <t>I</t>
        </is>
      </c>
      <c r="B14" s="12" t="inlineStr">
        <is>
          <t>I.9</t>
        </is>
      </c>
      <c r="C14" s="12" t="inlineStr">
        <is>
          <t>Registered address</t>
        </is>
      </c>
      <c r="D14" s="12" t="inlineStr">
        <is>
          <t>Profile</t>
        </is>
      </c>
      <c r="E14" s="12" t="inlineStr">
        <is>
          <t>Registered / branch address</t>
        </is>
      </c>
      <c r="F14" s="12" t="inlineStr">
        <is>
          <t>Employer filing identity</t>
        </is>
      </c>
      <c r="G14" s="12" t="inlineStr">
        <is>
          <t>Return</t>
        </is>
      </c>
      <c r="H14" s="12" t="inlineStr">
        <is>
          <t>Specified</t>
        </is>
      </c>
    </row>
    <row r="15" ht="46" customHeight="1">
      <c r="A15" s="15" t="inlineStr">
        <is>
          <t>I</t>
        </is>
      </c>
      <c r="B15" s="15" t="inlineStr">
        <is>
          <t>I.9A</t>
        </is>
      </c>
      <c r="C15" s="15" t="inlineStr">
        <is>
          <t>ZIP code</t>
        </is>
      </c>
      <c r="D15" s="15" t="inlineStr">
        <is>
          <t>Profile</t>
        </is>
      </c>
      <c r="E15" s="15" t="inlineStr">
        <is>
          <t>Address data</t>
        </is>
      </c>
      <c r="F15" s="15" t="inlineStr">
        <is>
          <t>Text identifier</t>
        </is>
      </c>
      <c r="G15" s="15" t="inlineStr">
        <is>
          <t>Return</t>
        </is>
      </c>
      <c r="H15" s="15" t="inlineStr">
        <is>
          <t>Specified</t>
        </is>
      </c>
    </row>
    <row r="16" ht="46" customHeight="1">
      <c r="A16" s="12" t="inlineStr">
        <is>
          <t>I</t>
        </is>
      </c>
      <c r="B16" s="12" t="inlineStr">
        <is>
          <t>I.10</t>
        </is>
      </c>
      <c r="C16" s="12" t="inlineStr">
        <is>
          <t>Contact number</t>
        </is>
      </c>
      <c r="D16" s="12" t="inlineStr">
        <is>
          <t>Profile</t>
        </is>
      </c>
      <c r="E16" s="12" t="inlineStr">
        <is>
          <t>Contact data</t>
        </is>
      </c>
      <c r="F16" s="12" t="inlineStr">
        <is>
          <t>Not an account</t>
        </is>
      </c>
      <c r="G16" s="12" t="inlineStr">
        <is>
          <t>Return</t>
        </is>
      </c>
      <c r="H16" s="12" t="inlineStr">
        <is>
          <t>Specified</t>
        </is>
      </c>
    </row>
    <row r="17" ht="46" customHeight="1">
      <c r="A17" s="15" t="inlineStr">
        <is>
          <t>I</t>
        </is>
      </c>
      <c r="B17" s="15" t="inlineStr">
        <is>
          <t>I.11</t>
        </is>
      </c>
      <c r="C17" s="15" t="inlineStr">
        <is>
          <t>Category of withholding agent</t>
        </is>
      </c>
      <c r="D17" s="15" t="inlineStr">
        <is>
          <t>Profile</t>
        </is>
      </c>
      <c r="E17" s="15" t="inlineStr">
        <is>
          <t>Private / Government</t>
        </is>
      </c>
      <c r="F17" s="15" t="inlineStr">
        <is>
          <t>Employer classification</t>
        </is>
      </c>
      <c r="G17" s="15" t="inlineStr">
        <is>
          <t>Return</t>
        </is>
      </c>
      <c r="H17" s="15" t="inlineStr">
        <is>
          <t>Specified</t>
        </is>
      </c>
    </row>
    <row r="18" ht="46" customHeight="1">
      <c r="A18" s="12" t="inlineStr">
        <is>
          <t>I</t>
        </is>
      </c>
      <c r="B18" s="12" t="inlineStr">
        <is>
          <t>I.12</t>
        </is>
      </c>
      <c r="C18" s="12" t="inlineStr">
        <is>
          <t>Email address</t>
        </is>
      </c>
      <c r="D18" s="12" t="inlineStr">
        <is>
          <t>Profile</t>
        </is>
      </c>
      <c r="E18" s="12" t="inlineStr">
        <is>
          <t>Contact data</t>
        </is>
      </c>
      <c r="F18" s="12" t="inlineStr">
        <is>
          <t>Not an account</t>
        </is>
      </c>
      <c r="G18" s="12" t="inlineStr">
        <is>
          <t>Return</t>
        </is>
      </c>
      <c r="H18" s="12" t="inlineStr">
        <is>
          <t>Specified</t>
        </is>
      </c>
    </row>
    <row r="19" ht="46" customHeight="1">
      <c r="A19" s="15" t="inlineStr">
        <is>
          <t>I</t>
        </is>
      </c>
      <c r="B19" s="15" t="inlineStr">
        <is>
          <t>I.13</t>
        </is>
      </c>
      <c r="C19" s="15" t="inlineStr">
        <is>
          <t>Payees with relief under law / treaty?</t>
        </is>
      </c>
      <c r="D19" s="15" t="inlineStr">
        <is>
          <t>Payroll + profile</t>
        </is>
      </c>
      <c r="E19" s="15" t="inlineStr">
        <is>
          <t>Per-employee tax relief</t>
        </is>
      </c>
      <c r="F19" s="15" t="inlineStr">
        <is>
          <t>Check eligible payees</t>
        </is>
      </c>
      <c r="G19" s="15" t="inlineStr">
        <is>
          <t>Return</t>
        </is>
      </c>
      <c r="H19" s="15" t="inlineStr">
        <is>
          <t>Specified</t>
        </is>
      </c>
    </row>
    <row r="20" ht="46" customHeight="1">
      <c r="A20" s="12" t="inlineStr">
        <is>
          <t>I</t>
        </is>
      </c>
      <c r="B20" s="12" t="inlineStr">
        <is>
          <t>I.13A</t>
        </is>
      </c>
      <c r="C20" s="12" t="inlineStr">
        <is>
          <t>Specify relief</t>
        </is>
      </c>
      <c r="D20" s="12" t="inlineStr">
        <is>
          <t>Manual review</t>
        </is>
      </c>
      <c r="E20" s="12" t="inlineStr">
        <is>
          <t>Relief authority</t>
        </is>
      </c>
      <c r="F20" s="12" t="inlineStr">
        <is>
          <t>When applicable</t>
        </is>
      </c>
      <c r="G20" s="12" t="inlineStr">
        <is>
          <t>Return</t>
        </is>
      </c>
      <c r="H20" s="12" t="inlineStr">
        <is>
          <t>Specified</t>
        </is>
      </c>
    </row>
    <row r="21" ht="46" customHeight="1">
      <c r="A21" s="15" t="inlineStr">
        <is>
          <t>II</t>
        </is>
      </c>
      <c r="B21" s="15" t="inlineStr">
        <is>
          <t>II.14</t>
        </is>
      </c>
      <c r="C21" s="15" t="inlineStr">
        <is>
          <t>Total amount of compensation</t>
        </is>
      </c>
      <c r="D21" s="15" t="inlineStr">
        <is>
          <t>Payroll</t>
        </is>
      </c>
      <c r="E21" s="15" t="inlineStr">
        <is>
          <t>Gross per employee before employee deductions</t>
        </is>
      </c>
      <c r="F21" s="15" t="inlineStr">
        <is>
          <t>Include all appropriate compensation; no employer contribution expense</t>
        </is>
      </c>
      <c r="G21" s="15" t="inlineStr">
        <is>
          <t>Return</t>
        </is>
      </c>
      <c r="H21" s="15" t="inlineStr">
        <is>
          <t>Specified</t>
        </is>
      </c>
    </row>
    <row r="22" ht="46" customHeight="1">
      <c r="A22" s="12" t="inlineStr">
        <is>
          <t>II</t>
        </is>
      </c>
      <c r="B22" s="12" t="inlineStr">
        <is>
          <t>II.15</t>
        </is>
      </c>
      <c r="C22" s="12" t="inlineStr">
        <is>
          <t>Statutory minimum wage for MWEs</t>
        </is>
      </c>
      <c r="D22" s="12" t="inlineStr">
        <is>
          <t>Payroll</t>
        </is>
      </c>
      <c r="E22" s="12" t="inlineStr">
        <is>
          <t>basicSalaryMwe</t>
        </is>
      </c>
      <c r="F22" s="12" t="inlineStr">
        <is>
          <t>Minimum-wage-earner qualification</t>
        </is>
      </c>
      <c r="G22" s="12" t="inlineStr">
        <is>
          <t>Return</t>
        </is>
      </c>
      <c r="H22" s="12" t="inlineStr">
        <is>
          <t>Specified</t>
        </is>
      </c>
    </row>
    <row r="23" ht="46" customHeight="1">
      <c r="A23" s="15" t="inlineStr">
        <is>
          <t>II</t>
        </is>
      </c>
      <c r="B23" s="15" t="inlineStr">
        <is>
          <t>II.16</t>
        </is>
      </c>
      <c r="C23" s="15" t="inlineStr">
        <is>
          <t>MWE holiday / overtime / night / hazard pay</t>
        </is>
      </c>
      <c r="D23" s="15" t="inlineStr">
        <is>
          <t>Payroll</t>
        </is>
      </c>
      <c r="E23" s="15" t="inlineStr">
        <is>
          <t>holidayPayMwe + overtimePayMwe + nightShiftDifferentialMwe + hazardPayMwe</t>
        </is>
      </c>
      <c r="F23" s="15" t="inlineStr">
        <is>
          <t>Qualified MWE components only</t>
        </is>
      </c>
      <c r="G23" s="15" t="inlineStr">
        <is>
          <t>Return</t>
        </is>
      </c>
      <c r="H23" s="15" t="inlineStr">
        <is>
          <t>Specified</t>
        </is>
      </c>
    </row>
    <row r="24" ht="46" customHeight="1">
      <c r="A24" s="12" t="inlineStr">
        <is>
          <t>II</t>
        </is>
      </c>
      <c r="B24" s="12" t="inlineStr">
        <is>
          <t>II.17</t>
        </is>
      </c>
      <c r="C24" s="12" t="inlineStr">
        <is>
          <t>13th month pay and other benefits</t>
        </is>
      </c>
      <c r="D24" s="12" t="inlineStr">
        <is>
          <t>Payroll + tax rules</t>
        </is>
      </c>
      <c r="E24" s="12" t="inlineStr">
        <is>
          <t>Exempt portion of thirteenthMonthAndOtherBenefits</t>
        </is>
      </c>
      <c r="F24" s="12" t="inlineStr">
        <is>
          <t>Apply annual limit / YTD and payroll segregation</t>
        </is>
      </c>
      <c r="G24" s="12" t="inlineStr">
        <is>
          <t>Return</t>
        </is>
      </c>
      <c r="H24" s="12" t="inlineStr">
        <is>
          <t>Specified</t>
        </is>
      </c>
    </row>
    <row r="25" ht="46" customHeight="1">
      <c r="A25" s="15" t="inlineStr">
        <is>
          <t>II</t>
        </is>
      </c>
      <c r="B25" s="15" t="inlineStr">
        <is>
          <t>II.18</t>
        </is>
      </c>
      <c r="C25" s="15" t="inlineStr">
        <is>
          <t>De minimis benefits</t>
        </is>
      </c>
      <c r="D25" s="15" t="inlineStr">
        <is>
          <t>Payroll + tax rules</t>
        </is>
      </c>
      <c r="E25" s="15" t="inlineStr">
        <is>
          <t>Exempt deMinimisBenefits by type</t>
        </is>
      </c>
      <c r="F25" s="15" t="inlineStr">
        <is>
          <t>Apply each benefit rule and ceiling</t>
        </is>
      </c>
      <c r="G25" s="15" t="inlineStr">
        <is>
          <t>Return</t>
        </is>
      </c>
      <c r="H25" s="15" t="inlineStr">
        <is>
          <t>Specified</t>
        </is>
      </c>
    </row>
    <row r="26" ht="46" customHeight="1">
      <c r="A26" s="12" t="inlineStr">
        <is>
          <t>II</t>
        </is>
      </c>
      <c r="B26" s="12" t="inlineStr">
        <is>
          <t>II.19</t>
        </is>
      </c>
      <c r="C26" s="12" t="inlineStr">
        <is>
          <t>Mandatory contributions and union dues, employee share only</t>
        </is>
      </c>
      <c r="D26" s="12" t="inlineStr">
        <is>
          <t>Payroll</t>
        </is>
      </c>
      <c r="E26" s="12" t="inlineStr">
        <is>
          <t>sssEmployeeShare + philHealthEmployeeShare + pagIbigEmployeeShare + unionDues; GSIS if applicable</t>
        </is>
      </c>
      <c r="F26" s="12" t="inlineStr">
        <is>
          <t>Employee portion only; payable account also contains employer share</t>
        </is>
      </c>
      <c r="G26" s="12" t="inlineStr">
        <is>
          <t>Return</t>
        </is>
      </c>
      <c r="H26" s="12" t="inlineStr">
        <is>
          <t>Specified</t>
        </is>
      </c>
    </row>
    <row r="27" ht="46" customHeight="1">
      <c r="A27" s="15" t="inlineStr">
        <is>
          <t>II</t>
        </is>
      </c>
      <c r="B27" s="15" t="inlineStr">
        <is>
          <t>II.20</t>
        </is>
      </c>
      <c r="C27" s="15" t="inlineStr">
        <is>
          <t>Other non-taxable compensation + description</t>
        </is>
      </c>
      <c r="D27" s="15" t="inlineStr">
        <is>
          <t>Payroll + manual</t>
        </is>
      </c>
      <c r="E27" s="15" t="inlineStr">
        <is>
          <t>otherExempt and eligible other exemptions</t>
        </is>
      </c>
      <c r="F27" s="15" t="inlineStr">
        <is>
          <t>Do not repeat benefits already included above</t>
        </is>
      </c>
      <c r="G27" s="15" t="inlineStr">
        <is>
          <t>Return</t>
        </is>
      </c>
      <c r="H27" s="15" t="inlineStr">
        <is>
          <t>Specified</t>
        </is>
      </c>
    </row>
    <row r="28" ht="46" customHeight="1">
      <c r="A28" s="12" t="inlineStr">
        <is>
          <t>II</t>
        </is>
      </c>
      <c r="B28" s="12" t="inlineStr">
        <is>
          <t>II.21</t>
        </is>
      </c>
      <c r="C28" s="12" t="inlineStr">
        <is>
          <t>Total non-taxable compensation</t>
        </is>
      </c>
      <c r="D28" s="12" t="inlineStr">
        <is>
          <t>Calculated</t>
        </is>
      </c>
      <c r="E28" s="12" t="inlineStr">
        <is>
          <t>Sum II.15 through II.20</t>
        </is>
      </c>
      <c r="F28" s="12" t="inlineStr">
        <is>
          <t>Ensure categories are mutually exclusive</t>
        </is>
      </c>
      <c r="G28" s="12" t="inlineStr">
        <is>
          <t>Return</t>
        </is>
      </c>
      <c r="H28" s="12" t="inlineStr">
        <is>
          <t>Specified</t>
        </is>
      </c>
    </row>
    <row r="29" ht="46" customHeight="1">
      <c r="A29" s="15" t="inlineStr">
        <is>
          <t>II</t>
        </is>
      </c>
      <c r="B29" s="15" t="inlineStr">
        <is>
          <t>II.22</t>
        </is>
      </c>
      <c r="C29" s="15" t="inlineStr">
        <is>
          <t>Total taxable compensation</t>
        </is>
      </c>
      <c r="D29" s="15" t="inlineStr">
        <is>
          <t>Calculated</t>
        </is>
      </c>
      <c r="E29" s="15" t="inlineStr">
        <is>
          <t>II.14 - II.21</t>
        </is>
      </c>
      <c r="F29" s="15" t="inlineStr">
        <is>
          <t>Do not omit employee contributions</t>
        </is>
      </c>
      <c r="G29" s="15" t="inlineStr">
        <is>
          <t>Return</t>
        </is>
      </c>
      <c r="H29" s="15" t="inlineStr">
        <is>
          <t>Specified</t>
        </is>
      </c>
    </row>
    <row r="30" ht="46" customHeight="1">
      <c r="A30" s="12" t="inlineStr">
        <is>
          <t>II</t>
        </is>
      </c>
      <c r="B30" s="12" t="inlineStr">
        <is>
          <t>II.23</t>
        </is>
      </c>
      <c r="C30" s="12" t="inlineStr">
        <is>
          <t>Taxable compensation not subject to withholding</t>
        </is>
      </c>
      <c r="D30" s="12" t="inlineStr">
        <is>
          <t>Payroll + tax rules</t>
        </is>
      </c>
      <c r="E30" s="12" t="inlineStr">
        <is>
          <t>Employee-specific qualifying amount</t>
        </is>
      </c>
      <c r="F30" s="12" t="inlineStr">
        <is>
          <t>For specified non-MWE employees at/below annual threshold; verify current instructions</t>
        </is>
      </c>
      <c r="G30" s="12" t="inlineStr">
        <is>
          <t>Return</t>
        </is>
      </c>
      <c r="H30" s="12" t="inlineStr">
        <is>
          <t>Specified</t>
        </is>
      </c>
    </row>
    <row r="31" ht="46" customHeight="1">
      <c r="A31" s="15" t="inlineStr">
        <is>
          <t>II</t>
        </is>
      </c>
      <c r="B31" s="15" t="inlineStr">
        <is>
          <t>II.24</t>
        </is>
      </c>
      <c r="C31" s="15" t="inlineStr">
        <is>
          <t>Net taxable compensation</t>
        </is>
      </c>
      <c r="D31" s="15" t="inlineStr">
        <is>
          <t>Calculated</t>
        </is>
      </c>
      <c r="E31" s="15" t="inlineStr">
        <is>
          <t>II.22 - II.23</t>
        </is>
      </c>
      <c r="F31" s="15" t="inlineStr">
        <is>
          <t>Review employee classification</t>
        </is>
      </c>
      <c r="G31" s="15" t="inlineStr">
        <is>
          <t>Return</t>
        </is>
      </c>
      <c r="H31" s="15" t="inlineStr">
        <is>
          <t>Specified</t>
        </is>
      </c>
    </row>
    <row r="32" ht="46" customHeight="1">
      <c r="A32" s="12" t="inlineStr">
        <is>
          <t>II</t>
        </is>
      </c>
      <c r="B32" s="12" t="inlineStr">
        <is>
          <t>II.25</t>
        </is>
      </c>
      <c r="C32" s="12" t="inlineStr">
        <is>
          <t>Total taxes withheld</t>
        </is>
      </c>
      <c r="D32" s="12" t="inlineStr">
        <is>
          <t>Payroll</t>
        </is>
      </c>
      <c r="E32" s="12" t="inlineStr">
        <is>
          <t>Sum reported employee tax withheld for month</t>
        </is>
      </c>
      <c r="F32" s="12" t="inlineStr">
        <is>
          <t>Reconcile gross payroll posting with ph_wtc_payable</t>
        </is>
      </c>
      <c r="G32" s="12" t="inlineStr">
        <is>
          <t>Return</t>
        </is>
      </c>
      <c r="H32" s="12" t="inlineStr">
        <is>
          <t>Specified</t>
        </is>
      </c>
    </row>
    <row r="33" ht="46" customHeight="1">
      <c r="A33" s="15" t="inlineStr">
        <is>
          <t>II</t>
        </is>
      </c>
      <c r="B33" s="15" t="inlineStr">
        <is>
          <t>II.26</t>
        </is>
      </c>
      <c r="C33" s="15" t="inlineStr">
        <is>
          <t>Adjustment from previous months</t>
        </is>
      </c>
      <c r="D33" s="15" t="inlineStr">
        <is>
          <t>Return schedule</t>
        </is>
      </c>
      <c r="E33" s="15" t="inlineStr">
        <is>
          <t>S1.4</t>
        </is>
      </c>
      <c r="F33" s="15" t="inlineStr">
        <is>
          <t>Signed adjustment</t>
        </is>
      </c>
      <c r="G33" s="15" t="inlineStr">
        <is>
          <t>Return</t>
        </is>
      </c>
      <c r="H33" s="15" t="inlineStr">
        <is>
          <t>Specified</t>
        </is>
      </c>
    </row>
    <row r="34" ht="46" customHeight="1">
      <c r="A34" s="12" t="inlineStr">
        <is>
          <t>II</t>
        </is>
      </c>
      <c r="B34" s="12" t="inlineStr">
        <is>
          <t>II.27</t>
        </is>
      </c>
      <c r="C34" s="12" t="inlineStr">
        <is>
          <t>Taxes withheld for remittance</t>
        </is>
      </c>
      <c r="D34" s="12" t="inlineStr">
        <is>
          <t>Calculated</t>
        </is>
      </c>
      <c r="E34" s="12" t="inlineStr">
        <is>
          <t>II.25 + II.26</t>
        </is>
      </c>
      <c r="F34" s="12" t="inlineStr">
        <is>
          <t>Includes adjustments</t>
        </is>
      </c>
      <c r="G34" s="12" t="inlineStr">
        <is>
          <t>Return</t>
        </is>
      </c>
      <c r="H34" s="12" t="inlineStr">
        <is>
          <t>Specified</t>
        </is>
      </c>
    </row>
    <row r="35" ht="46" customHeight="1">
      <c r="A35" s="15" t="inlineStr">
        <is>
          <t>II</t>
        </is>
      </c>
      <c r="B35" s="15" t="inlineStr">
        <is>
          <t>II.28</t>
        </is>
      </c>
      <c r="C35" s="15" t="inlineStr">
        <is>
          <t>Previously remitted in amended return</t>
        </is>
      </c>
      <c r="D35" s="15" t="inlineStr">
        <is>
          <t>Filing payment</t>
        </is>
      </c>
      <c r="E35" s="15" t="inlineStr">
        <is>
          <t>Prior 1601-C payment</t>
        </is>
      </c>
      <c r="F35" s="15" t="inlineStr">
        <is>
          <t>Amended return only</t>
        </is>
      </c>
      <c r="G35" s="15" t="inlineStr">
        <is>
          <t>Return</t>
        </is>
      </c>
      <c r="H35" s="15" t="inlineStr">
        <is>
          <t>Specified</t>
        </is>
      </c>
    </row>
    <row r="36" ht="46" customHeight="1">
      <c r="A36" s="12" t="inlineStr">
        <is>
          <t>II</t>
        </is>
      </c>
      <c r="B36" s="12" t="inlineStr">
        <is>
          <t>II.29</t>
        </is>
      </c>
      <c r="C36" s="12" t="inlineStr">
        <is>
          <t>Other remittances + description</t>
        </is>
      </c>
      <c r="D36" s="12" t="inlineStr">
        <is>
          <t>Payment</t>
        </is>
      </c>
      <c r="E36" s="12" t="inlineStr">
        <is>
          <t>Eligible prior remittance</t>
        </is>
      </c>
      <c r="F36" s="12" t="inlineStr">
        <is>
          <t>Evidence required</t>
        </is>
      </c>
      <c r="G36" s="12" t="inlineStr">
        <is>
          <t>Return</t>
        </is>
      </c>
      <c r="H36" s="12" t="inlineStr">
        <is>
          <t>Specified</t>
        </is>
      </c>
    </row>
    <row r="37" ht="46" customHeight="1">
      <c r="A37" s="15" t="inlineStr">
        <is>
          <t>II</t>
        </is>
      </c>
      <c r="B37" s="15" t="inlineStr">
        <is>
          <t>II.30</t>
        </is>
      </c>
      <c r="C37" s="15" t="inlineStr">
        <is>
          <t>Total remittances made</t>
        </is>
      </c>
      <c r="D37" s="15" t="inlineStr">
        <is>
          <t>Calculated</t>
        </is>
      </c>
      <c r="E37" s="15" t="inlineStr">
        <is>
          <t>II.28 + II.29</t>
        </is>
      </c>
      <c r="F37" s="15" t="inlineStr">
        <is>
          <t>Keep amounts separate</t>
        </is>
      </c>
      <c r="G37" s="15" t="inlineStr">
        <is>
          <t>Return</t>
        </is>
      </c>
      <c r="H37" s="15" t="inlineStr">
        <is>
          <t>Specified</t>
        </is>
      </c>
    </row>
    <row r="38" ht="46" customHeight="1">
      <c r="A38" s="12" t="inlineStr">
        <is>
          <t>II</t>
        </is>
      </c>
      <c r="B38" s="12" t="inlineStr">
        <is>
          <t>II.31</t>
        </is>
      </c>
      <c r="C38" s="12" t="inlineStr">
        <is>
          <t>Tax still due / overremittance</t>
        </is>
      </c>
      <c r="D38" s="12" t="inlineStr">
        <is>
          <t>Calculated</t>
        </is>
      </c>
      <c r="E38" s="12" t="inlineStr">
        <is>
          <t>II.27 - II.30</t>
        </is>
      </c>
      <c r="F38" s="12" t="inlineStr">
        <is>
          <t>Preserve sign</t>
        </is>
      </c>
      <c r="G38" s="12" t="inlineStr">
        <is>
          <t>Return</t>
        </is>
      </c>
      <c r="H38" s="12" t="inlineStr">
        <is>
          <t>Specified</t>
        </is>
      </c>
    </row>
    <row r="39" ht="46" customHeight="1">
      <c r="A39" s="15" t="inlineStr">
        <is>
          <t>II</t>
        </is>
      </c>
      <c r="B39" s="15" t="inlineStr">
        <is>
          <t>II.32</t>
        </is>
      </c>
      <c r="C39" s="15" t="inlineStr">
        <is>
          <t>Surcharge</t>
        </is>
      </c>
      <c r="D39" s="15" t="inlineStr">
        <is>
          <t>Manual review</t>
        </is>
      </c>
      <c r="E39" s="15" t="inlineStr">
        <is>
          <t>Penalty assessment</t>
        </is>
      </c>
      <c r="F39" s="15" t="inlineStr">
        <is>
          <t>Not salary</t>
        </is>
      </c>
      <c r="G39" s="15" t="inlineStr">
        <is>
          <t>Return</t>
        </is>
      </c>
      <c r="H39" s="15" t="inlineStr">
        <is>
          <t>Specified</t>
        </is>
      </c>
    </row>
    <row r="40" ht="46" customHeight="1">
      <c r="A40" s="12" t="inlineStr">
        <is>
          <t>II</t>
        </is>
      </c>
      <c r="B40" s="12" t="inlineStr">
        <is>
          <t>II.33</t>
        </is>
      </c>
      <c r="C40" s="12" t="inlineStr">
        <is>
          <t>Interest</t>
        </is>
      </c>
      <c r="D40" s="12" t="inlineStr">
        <is>
          <t>Manual review</t>
        </is>
      </c>
      <c r="E40" s="12" t="inlineStr">
        <is>
          <t>Penalty assessment</t>
        </is>
      </c>
      <c r="F40" s="12" t="inlineStr">
        <is>
          <t>Not salary</t>
        </is>
      </c>
      <c r="G40" s="12" t="inlineStr">
        <is>
          <t>Return</t>
        </is>
      </c>
      <c r="H40" s="12" t="inlineStr">
        <is>
          <t>Specified</t>
        </is>
      </c>
    </row>
    <row r="41" ht="46" customHeight="1">
      <c r="A41" s="15" t="inlineStr">
        <is>
          <t>II</t>
        </is>
      </c>
      <c r="B41" s="15" t="inlineStr">
        <is>
          <t>II.34</t>
        </is>
      </c>
      <c r="C41" s="15" t="inlineStr">
        <is>
          <t>Compromise</t>
        </is>
      </c>
      <c r="D41" s="15" t="inlineStr">
        <is>
          <t>Manual review</t>
        </is>
      </c>
      <c r="E41" s="15" t="inlineStr">
        <is>
          <t>Penalty assessment</t>
        </is>
      </c>
      <c r="F41" s="15" t="inlineStr">
        <is>
          <t>Not salary</t>
        </is>
      </c>
      <c r="G41" s="15" t="inlineStr">
        <is>
          <t>Return</t>
        </is>
      </c>
      <c r="H41" s="15" t="inlineStr">
        <is>
          <t>Specified</t>
        </is>
      </c>
    </row>
    <row r="42" ht="46" customHeight="1">
      <c r="A42" s="12" t="inlineStr">
        <is>
          <t>II</t>
        </is>
      </c>
      <c r="B42" s="12" t="inlineStr">
        <is>
          <t>II.35</t>
        </is>
      </c>
      <c r="C42" s="12" t="inlineStr">
        <is>
          <t>Total penalties</t>
        </is>
      </c>
      <c r="D42" s="12" t="inlineStr">
        <is>
          <t>Calculated</t>
        </is>
      </c>
      <c r="E42" s="12" t="inlineStr">
        <is>
          <t>II.32 + II.33 + II.34</t>
        </is>
      </c>
      <c r="F42" s="12" t="str"/>
      <c r="G42" s="12" t="inlineStr">
        <is>
          <t>Return</t>
        </is>
      </c>
      <c r="H42" s="12" t="inlineStr">
        <is>
          <t>Specified</t>
        </is>
      </c>
    </row>
    <row r="43" ht="46" customHeight="1">
      <c r="A43" s="15" t="inlineStr">
        <is>
          <t>II</t>
        </is>
      </c>
      <c r="B43" s="15" t="inlineStr">
        <is>
          <t>II.36</t>
        </is>
      </c>
      <c r="C43" s="15" t="inlineStr">
        <is>
          <t>Total amount still due / overremittance</t>
        </is>
      </c>
      <c r="D43" s="15" t="inlineStr">
        <is>
          <t>Calculated</t>
        </is>
      </c>
      <c r="E43" s="15" t="inlineStr">
        <is>
          <t>II.31 + II.35</t>
        </is>
      </c>
      <c r="F43" s="15" t="inlineStr">
        <is>
          <t>Preserve sign</t>
        </is>
      </c>
      <c r="G43" s="15" t="inlineStr">
        <is>
          <t>Return</t>
        </is>
      </c>
      <c r="H43" s="15" t="inlineStr">
        <is>
          <t>Specified</t>
        </is>
      </c>
    </row>
    <row r="44" ht="46" customHeight="1">
      <c r="A44" s="12" t="inlineStr">
        <is>
          <t>III</t>
        </is>
      </c>
      <c r="B44" s="12" t="inlineStr">
        <is>
          <t>III.37.bank</t>
        </is>
      </c>
      <c r="C44" s="12" t="inlineStr">
        <is>
          <t>Cash / bank debit: Drawee bank / agency</t>
        </is>
      </c>
      <c r="D44" s="12" t="inlineStr">
        <is>
          <t>Payment</t>
        </is>
      </c>
      <c r="E44" s="12" t="inlineStr">
        <is>
          <t>Payment evidence</t>
        </is>
      </c>
      <c r="F44" s="12" t="inlineStr">
        <is>
          <t>Record if method 37 is used</t>
        </is>
      </c>
      <c r="G44" s="12" t="inlineStr">
        <is>
          <t>Payment row</t>
        </is>
      </c>
      <c r="H44" s="12" t="inlineStr">
        <is>
          <t>Specified</t>
        </is>
      </c>
    </row>
    <row r="45" ht="46" customHeight="1">
      <c r="A45" s="15" t="inlineStr">
        <is>
          <t>III</t>
        </is>
      </c>
      <c r="B45" s="15" t="inlineStr">
        <is>
          <t>III.37.number</t>
        </is>
      </c>
      <c r="C45" s="15" t="inlineStr">
        <is>
          <t>Cash / bank debit: Reference number</t>
        </is>
      </c>
      <c r="D45" s="15" t="inlineStr">
        <is>
          <t>Payment</t>
        </is>
      </c>
      <c r="E45" s="15" t="inlineStr">
        <is>
          <t>Payment evidence</t>
        </is>
      </c>
      <c r="F45" s="15" t="inlineStr">
        <is>
          <t>Record if method 37 is used</t>
        </is>
      </c>
      <c r="G45" s="15" t="inlineStr">
        <is>
          <t>Payment row</t>
        </is>
      </c>
      <c r="H45" s="15" t="inlineStr">
        <is>
          <t>Specified</t>
        </is>
      </c>
    </row>
    <row r="46" ht="46" customHeight="1">
      <c r="A46" s="12" t="inlineStr">
        <is>
          <t>III</t>
        </is>
      </c>
      <c r="B46" s="12" t="inlineStr">
        <is>
          <t>III.37.date</t>
        </is>
      </c>
      <c r="C46" s="12" t="inlineStr">
        <is>
          <t>Cash / bank debit: Payment date</t>
        </is>
      </c>
      <c r="D46" s="12" t="inlineStr">
        <is>
          <t>Payment</t>
        </is>
      </c>
      <c r="E46" s="12" t="inlineStr">
        <is>
          <t>Payment evidence</t>
        </is>
      </c>
      <c r="F46" s="12" t="inlineStr">
        <is>
          <t>Record if method 37 is used</t>
        </is>
      </c>
      <c r="G46" s="12" t="inlineStr">
        <is>
          <t>Payment row</t>
        </is>
      </c>
      <c r="H46" s="12" t="inlineStr">
        <is>
          <t>Specified</t>
        </is>
      </c>
    </row>
    <row r="47" ht="46" customHeight="1">
      <c r="A47" s="15" t="inlineStr">
        <is>
          <t>III</t>
        </is>
      </c>
      <c r="B47" s="15" t="inlineStr">
        <is>
          <t>III.37.amount</t>
        </is>
      </c>
      <c r="C47" s="15" t="inlineStr">
        <is>
          <t>Cash / bank debit: Amount</t>
        </is>
      </c>
      <c r="D47" s="15" t="inlineStr">
        <is>
          <t>Payment</t>
        </is>
      </c>
      <c r="E47" s="15" t="inlineStr">
        <is>
          <t>Payment evidence</t>
        </is>
      </c>
      <c r="F47" s="15" t="inlineStr">
        <is>
          <t>Record if method 37 is used</t>
        </is>
      </c>
      <c r="G47" s="15" t="inlineStr">
        <is>
          <t>Payment row</t>
        </is>
      </c>
      <c r="H47" s="15" t="inlineStr">
        <is>
          <t>Specified</t>
        </is>
      </c>
    </row>
    <row r="48" ht="46" customHeight="1">
      <c r="A48" s="12" t="inlineStr">
        <is>
          <t>III</t>
        </is>
      </c>
      <c r="B48" s="12" t="inlineStr">
        <is>
          <t>III.38.bank</t>
        </is>
      </c>
      <c r="C48" s="12" t="inlineStr">
        <is>
          <t>Check: Drawee bank / agency</t>
        </is>
      </c>
      <c r="D48" s="12" t="inlineStr">
        <is>
          <t>Payment</t>
        </is>
      </c>
      <c r="E48" s="12" t="inlineStr">
        <is>
          <t>Payment evidence</t>
        </is>
      </c>
      <c r="F48" s="12" t="inlineStr">
        <is>
          <t>Record if method 38 is used</t>
        </is>
      </c>
      <c r="G48" s="12" t="inlineStr">
        <is>
          <t>Payment row</t>
        </is>
      </c>
      <c r="H48" s="12" t="inlineStr">
        <is>
          <t>Specified</t>
        </is>
      </c>
    </row>
    <row r="49" ht="46" customHeight="1">
      <c r="A49" s="15" t="inlineStr">
        <is>
          <t>III</t>
        </is>
      </c>
      <c r="B49" s="15" t="inlineStr">
        <is>
          <t>III.38.number</t>
        </is>
      </c>
      <c r="C49" s="15" t="inlineStr">
        <is>
          <t>Check: Reference number</t>
        </is>
      </c>
      <c r="D49" s="15" t="inlineStr">
        <is>
          <t>Payment</t>
        </is>
      </c>
      <c r="E49" s="15" t="inlineStr">
        <is>
          <t>Payment evidence</t>
        </is>
      </c>
      <c r="F49" s="15" t="inlineStr">
        <is>
          <t>Record if method 38 is used</t>
        </is>
      </c>
      <c r="G49" s="15" t="inlineStr">
        <is>
          <t>Payment row</t>
        </is>
      </c>
      <c r="H49" s="15" t="inlineStr">
        <is>
          <t>Specified</t>
        </is>
      </c>
    </row>
    <row r="50" ht="46" customHeight="1">
      <c r="A50" s="12" t="inlineStr">
        <is>
          <t>III</t>
        </is>
      </c>
      <c r="B50" s="12" t="inlineStr">
        <is>
          <t>III.38.date</t>
        </is>
      </c>
      <c r="C50" s="12" t="inlineStr">
        <is>
          <t>Check: Payment date</t>
        </is>
      </c>
      <c r="D50" s="12" t="inlineStr">
        <is>
          <t>Payment</t>
        </is>
      </c>
      <c r="E50" s="12" t="inlineStr">
        <is>
          <t>Payment evidence</t>
        </is>
      </c>
      <c r="F50" s="12" t="inlineStr">
        <is>
          <t>Record if method 38 is used</t>
        </is>
      </c>
      <c r="G50" s="12" t="inlineStr">
        <is>
          <t>Payment row</t>
        </is>
      </c>
      <c r="H50" s="12" t="inlineStr">
        <is>
          <t>Specified</t>
        </is>
      </c>
    </row>
    <row r="51" ht="46" customHeight="1">
      <c r="A51" s="15" t="inlineStr">
        <is>
          <t>III</t>
        </is>
      </c>
      <c r="B51" s="15" t="inlineStr">
        <is>
          <t>III.38.amount</t>
        </is>
      </c>
      <c r="C51" s="15" t="inlineStr">
        <is>
          <t>Check: Amount</t>
        </is>
      </c>
      <c r="D51" s="15" t="inlineStr">
        <is>
          <t>Payment</t>
        </is>
      </c>
      <c r="E51" s="15" t="inlineStr">
        <is>
          <t>Payment evidence</t>
        </is>
      </c>
      <c r="F51" s="15" t="inlineStr">
        <is>
          <t>Record if method 38 is used</t>
        </is>
      </c>
      <c r="G51" s="15" t="inlineStr">
        <is>
          <t>Payment row</t>
        </is>
      </c>
      <c r="H51" s="15" t="inlineStr">
        <is>
          <t>Specified</t>
        </is>
      </c>
    </row>
    <row r="52" ht="46" customHeight="1">
      <c r="A52" s="12" t="inlineStr">
        <is>
          <t>III</t>
        </is>
      </c>
      <c r="B52" s="12" t="inlineStr">
        <is>
          <t>III.39.bank</t>
        </is>
      </c>
      <c r="C52" s="12" t="inlineStr">
        <is>
          <t>Tax debit memo: Drawee bank / agency</t>
        </is>
      </c>
      <c r="D52" s="12" t="inlineStr">
        <is>
          <t>Payment</t>
        </is>
      </c>
      <c r="E52" s="12" t="inlineStr">
        <is>
          <t>Payment evidence</t>
        </is>
      </c>
      <c r="F52" s="12" t="inlineStr">
        <is>
          <t>Record if method 39 is used [No drawee key for item 39 in the pinned schema (txtNumber39, txtDate39, txtAmount39 only). Not fillable; row kept (correction 30).]</t>
        </is>
      </c>
      <c r="G52" s="12" t="inlineStr">
        <is>
          <t>Payment row</t>
        </is>
      </c>
      <c r="H52" s="12" t="inlineStr">
        <is>
          <t>Specified</t>
        </is>
      </c>
    </row>
    <row r="53" ht="46" customHeight="1">
      <c r="A53" s="15" t="inlineStr">
        <is>
          <t>III</t>
        </is>
      </c>
      <c r="B53" s="15" t="inlineStr">
        <is>
          <t>III.39.number</t>
        </is>
      </c>
      <c r="C53" s="15" t="inlineStr">
        <is>
          <t>Tax debit memo: Reference number</t>
        </is>
      </c>
      <c r="D53" s="15" t="inlineStr">
        <is>
          <t>Payment</t>
        </is>
      </c>
      <c r="E53" s="15" t="inlineStr">
        <is>
          <t>Payment evidence</t>
        </is>
      </c>
      <c r="F53" s="15" t="inlineStr">
        <is>
          <t>Record if method 39 is used</t>
        </is>
      </c>
      <c r="G53" s="15" t="inlineStr">
        <is>
          <t>Payment row</t>
        </is>
      </c>
      <c r="H53" s="15" t="inlineStr">
        <is>
          <t>Specified</t>
        </is>
      </c>
    </row>
    <row r="54" ht="46" customHeight="1">
      <c r="A54" s="12" t="inlineStr">
        <is>
          <t>III</t>
        </is>
      </c>
      <c r="B54" s="12" t="inlineStr">
        <is>
          <t>III.39.date</t>
        </is>
      </c>
      <c r="C54" s="12" t="inlineStr">
        <is>
          <t>Tax debit memo: Payment date</t>
        </is>
      </c>
      <c r="D54" s="12" t="inlineStr">
        <is>
          <t>Payment</t>
        </is>
      </c>
      <c r="E54" s="12" t="inlineStr">
        <is>
          <t>Payment evidence</t>
        </is>
      </c>
      <c r="F54" s="12" t="inlineStr">
        <is>
          <t>Record if method 39 is used</t>
        </is>
      </c>
      <c r="G54" s="12" t="inlineStr">
        <is>
          <t>Payment row</t>
        </is>
      </c>
      <c r="H54" s="12" t="inlineStr">
        <is>
          <t>Specified</t>
        </is>
      </c>
    </row>
    <row r="55" ht="46" customHeight="1">
      <c r="A55" s="15" t="inlineStr">
        <is>
          <t>III</t>
        </is>
      </c>
      <c r="B55" s="15" t="inlineStr">
        <is>
          <t>III.39.amount</t>
        </is>
      </c>
      <c r="C55" s="15" t="inlineStr">
        <is>
          <t>Tax debit memo: Amount</t>
        </is>
      </c>
      <c r="D55" s="15" t="inlineStr">
        <is>
          <t>Payment</t>
        </is>
      </c>
      <c r="E55" s="15" t="inlineStr">
        <is>
          <t>Payment evidence</t>
        </is>
      </c>
      <c r="F55" s="15" t="inlineStr">
        <is>
          <t>Record if method 39 is used</t>
        </is>
      </c>
      <c r="G55" s="15" t="inlineStr">
        <is>
          <t>Payment row</t>
        </is>
      </c>
      <c r="H55" s="15" t="inlineStr">
        <is>
          <t>Specified</t>
        </is>
      </c>
    </row>
    <row r="56" ht="46" customHeight="1">
      <c r="A56" s="12" t="inlineStr">
        <is>
          <t>III</t>
        </is>
      </c>
      <c r="B56" s="12" t="inlineStr">
        <is>
          <t>III.40.bank</t>
        </is>
      </c>
      <c r="C56" s="12" t="inlineStr">
        <is>
          <t>Other payment: Drawee bank / agency</t>
        </is>
      </c>
      <c r="D56" s="12" t="inlineStr">
        <is>
          <t>Payment</t>
        </is>
      </c>
      <c r="E56" s="12" t="inlineStr">
        <is>
          <t>Payment evidence</t>
        </is>
      </c>
      <c r="F56" s="12" t="inlineStr">
        <is>
          <t>Record if method 40 is used</t>
        </is>
      </c>
      <c r="G56" s="12" t="inlineStr">
        <is>
          <t>Payment row</t>
        </is>
      </c>
      <c r="H56" s="12" t="inlineStr">
        <is>
          <t>Specified</t>
        </is>
      </c>
    </row>
    <row r="57" ht="46" customHeight="1">
      <c r="A57" s="15" t="inlineStr">
        <is>
          <t>III</t>
        </is>
      </c>
      <c r="B57" s="15" t="inlineStr">
        <is>
          <t>III.40.number</t>
        </is>
      </c>
      <c r="C57" s="15" t="inlineStr">
        <is>
          <t>Other payment: Reference number</t>
        </is>
      </c>
      <c r="D57" s="15" t="inlineStr">
        <is>
          <t>Payment</t>
        </is>
      </c>
      <c r="E57" s="15" t="inlineStr">
        <is>
          <t>Payment evidence</t>
        </is>
      </c>
      <c r="F57" s="15" t="inlineStr">
        <is>
          <t>Record if method 40 is used</t>
        </is>
      </c>
      <c r="G57" s="15" t="inlineStr">
        <is>
          <t>Payment row</t>
        </is>
      </c>
      <c r="H57" s="15" t="inlineStr">
        <is>
          <t>Specified</t>
        </is>
      </c>
    </row>
    <row r="58" ht="46" customHeight="1">
      <c r="A58" s="12" t="inlineStr">
        <is>
          <t>III</t>
        </is>
      </c>
      <c r="B58" s="12" t="inlineStr">
        <is>
          <t>III.40.date</t>
        </is>
      </c>
      <c r="C58" s="12" t="inlineStr">
        <is>
          <t>Other payment: Payment date</t>
        </is>
      </c>
      <c r="D58" s="12" t="inlineStr">
        <is>
          <t>Payment</t>
        </is>
      </c>
      <c r="E58" s="12" t="inlineStr">
        <is>
          <t>Payment evidence</t>
        </is>
      </c>
      <c r="F58" s="12" t="inlineStr">
        <is>
          <t>Record if method 40 is used</t>
        </is>
      </c>
      <c r="G58" s="12" t="inlineStr">
        <is>
          <t>Payment row</t>
        </is>
      </c>
      <c r="H58" s="12" t="inlineStr">
        <is>
          <t>Specified</t>
        </is>
      </c>
    </row>
    <row r="59" ht="46" customHeight="1">
      <c r="A59" s="15" t="inlineStr">
        <is>
          <t>III</t>
        </is>
      </c>
      <c r="B59" s="15" t="inlineStr">
        <is>
          <t>III.40.amount</t>
        </is>
      </c>
      <c r="C59" s="15" t="inlineStr">
        <is>
          <t>Other payment: Amount</t>
        </is>
      </c>
      <c r="D59" s="15" t="inlineStr">
        <is>
          <t>Payment</t>
        </is>
      </c>
      <c r="E59" s="15" t="inlineStr">
        <is>
          <t>Payment evidence</t>
        </is>
      </c>
      <c r="F59" s="15" t="inlineStr">
        <is>
          <t>Record if method 40 is used</t>
        </is>
      </c>
      <c r="G59" s="15" t="inlineStr">
        <is>
          <t>Payment row</t>
        </is>
      </c>
      <c r="H59" s="15" t="inlineStr">
        <is>
          <t>Specified</t>
        </is>
      </c>
    </row>
    <row r="60" ht="46" customHeight="1">
      <c r="A60" s="12" t="inlineStr">
        <is>
          <t>Declaration</t>
        </is>
      </c>
      <c r="B60" s="12" t="inlineStr">
        <is>
          <t>DECL.signature</t>
        </is>
      </c>
      <c r="C60" s="12" t="inlineStr">
        <is>
          <t>Signer, title, TIN, agent credentials and dates</t>
        </is>
      </c>
      <c r="D60" s="12" t="inlineStr">
        <is>
          <t>Human / profile</t>
        </is>
      </c>
      <c r="E60" s="12" t="inlineStr">
        <is>
          <t>Authorized signer and agent</t>
        </is>
      </c>
      <c r="F60" s="12" t="inlineStr">
        <is>
          <t>Declaration requires human action</t>
        </is>
      </c>
      <c r="G60" s="12" t="inlineStr">
        <is>
          <t>Return</t>
        </is>
      </c>
      <c r="H60" s="12" t="inlineStr">
        <is>
          <t>Specified</t>
        </is>
      </c>
    </row>
    <row r="61" ht="46" customHeight="1">
      <c r="A61" s="15" t="inlineStr">
        <is>
          <t>Payment receipt</t>
        </is>
      </c>
      <c r="B61" s="15" t="inlineStr">
        <is>
          <t>RECEIPT</t>
        </is>
      </c>
      <c r="C61" s="15" t="inlineStr">
        <is>
          <t>Bank / ROR validation and receiving-office stamp</t>
        </is>
      </c>
      <c r="D61" s="15" t="inlineStr">
        <is>
          <t>Evidence</t>
        </is>
      </c>
      <c r="E61" s="15" t="inlineStr">
        <is>
          <t>Filing confirmation</t>
        </is>
      </c>
      <c r="F61" s="15" t="inlineStr">
        <is>
          <t>BIR / bank completion</t>
        </is>
      </c>
      <c r="G61" s="15" t="inlineStr">
        <is>
          <t>Return</t>
        </is>
      </c>
      <c r="H61" s="15" t="inlineStr">
        <is>
          <t>Specified</t>
        </is>
      </c>
    </row>
    <row r="62" ht="46" customHeight="1">
      <c r="A62" s="12" t="inlineStr">
        <is>
          <t>Schedule 1</t>
        </is>
      </c>
      <c r="B62" s="12" t="inlineStr">
        <is>
          <t>S1.1.1</t>
        </is>
      </c>
      <c r="C62" s="12" t="inlineStr">
        <is>
          <t>Adjustment row 1: Previous month</t>
        </is>
      </c>
      <c r="D62" s="12" t="inlineStr">
        <is>
          <t>Period</t>
        </is>
      </c>
      <c r="E62" s="12" t="inlineStr">
        <is>
          <t>Prior period and payment evidence</t>
        </is>
      </c>
      <c r="F62" s="12" t="inlineStr">
        <is>
          <t>When applicable</t>
        </is>
      </c>
      <c r="G62" s="12" t="inlineStr">
        <is>
          <t>Adjustment row</t>
        </is>
      </c>
      <c r="H62" s="12" t="inlineStr">
        <is>
          <t>Specified</t>
        </is>
      </c>
    </row>
    <row r="63" ht="46" customHeight="1">
      <c r="A63" s="15" t="inlineStr">
        <is>
          <t>Schedule 1</t>
        </is>
      </c>
      <c r="B63" s="15" t="inlineStr">
        <is>
          <t>S1.1.2</t>
        </is>
      </c>
      <c r="C63" s="15" t="inlineStr">
        <is>
          <t>Adjustment row 1: Date paid</t>
        </is>
      </c>
      <c r="D63" s="15" t="inlineStr">
        <is>
          <t>Payment</t>
        </is>
      </c>
      <c r="E63" s="15" t="inlineStr">
        <is>
          <t>Prior period and payment evidence</t>
        </is>
      </c>
      <c r="F63" s="15" t="inlineStr">
        <is>
          <t>When applicable</t>
        </is>
      </c>
      <c r="G63" s="15" t="inlineStr">
        <is>
          <t>Adjustment row</t>
        </is>
      </c>
      <c r="H63" s="15" t="inlineStr">
        <is>
          <t>Specified</t>
        </is>
      </c>
    </row>
    <row r="64" ht="46" customHeight="1">
      <c r="A64" s="12" t="inlineStr">
        <is>
          <t>Schedule 1</t>
        </is>
      </c>
      <c r="B64" s="12" t="inlineStr">
        <is>
          <t>S1.1.3</t>
        </is>
      </c>
      <c r="C64" s="12" t="inlineStr">
        <is>
          <t>Adjustment row 1: Drawee bank / code / agency</t>
        </is>
      </c>
      <c r="D64" s="12" t="inlineStr">
        <is>
          <t>Payment</t>
        </is>
      </c>
      <c r="E64" s="12" t="inlineStr">
        <is>
          <t>Prior period and payment evidence</t>
        </is>
      </c>
      <c r="F64" s="12" t="inlineStr">
        <is>
          <t>When applicable</t>
        </is>
      </c>
      <c r="G64" s="12" t="inlineStr">
        <is>
          <t>Adjustment row</t>
        </is>
      </c>
      <c r="H64" s="12" t="inlineStr">
        <is>
          <t>Specified</t>
        </is>
      </c>
    </row>
    <row r="65" ht="46" customHeight="1">
      <c r="A65" s="15" t="inlineStr">
        <is>
          <t>Schedule 1</t>
        </is>
      </c>
      <c r="B65" s="15" t="inlineStr">
        <is>
          <t>S1.1.4</t>
        </is>
      </c>
      <c r="C65" s="15" t="inlineStr">
        <is>
          <t>Adjustment row 1: Number</t>
        </is>
      </c>
      <c r="D65" s="15" t="inlineStr">
        <is>
          <t>Payment</t>
        </is>
      </c>
      <c r="E65" s="15" t="inlineStr">
        <is>
          <t>Prior period and payment evidence</t>
        </is>
      </c>
      <c r="F65" s="15" t="inlineStr">
        <is>
          <t>When applicable</t>
        </is>
      </c>
      <c r="G65" s="15" t="inlineStr">
        <is>
          <t>Adjustment row</t>
        </is>
      </c>
      <c r="H65" s="15" t="inlineStr">
        <is>
          <t>Specified</t>
        </is>
      </c>
    </row>
    <row r="66" ht="46" customHeight="1">
      <c r="A66" s="12" t="inlineStr">
        <is>
          <t>Schedule 1</t>
        </is>
      </c>
      <c r="B66" s="12" t="inlineStr">
        <is>
          <t>S1.1.5</t>
        </is>
      </c>
      <c r="C66" s="12" t="inlineStr">
        <is>
          <t>Adjustment row 1: Tax paid excluding penalties</t>
        </is>
      </c>
      <c r="D66" s="12" t="inlineStr">
        <is>
          <t>Prior return</t>
        </is>
      </c>
      <c r="E66" s="12" t="inlineStr">
        <is>
          <t>Prior period and payment evidence</t>
        </is>
      </c>
      <c r="F66" s="12" t="inlineStr">
        <is>
          <t>When applicable</t>
        </is>
      </c>
      <c r="G66" s="12" t="inlineStr">
        <is>
          <t>Adjustment row</t>
        </is>
      </c>
      <c r="H66" s="12" t="inlineStr">
        <is>
          <t>Specified</t>
        </is>
      </c>
    </row>
    <row r="67" ht="46" customHeight="1">
      <c r="A67" s="15" t="inlineStr">
        <is>
          <t>Schedule 1</t>
        </is>
      </c>
      <c r="B67" s="15" t="inlineStr">
        <is>
          <t>S1.1.6</t>
        </is>
      </c>
      <c r="C67" s="15" t="inlineStr">
        <is>
          <t>Adjustment row 1: Should be tax due</t>
        </is>
      </c>
      <c r="D67" s="15" t="inlineStr">
        <is>
          <t>Reviewed adjustment</t>
        </is>
      </c>
      <c r="E67" s="15" t="inlineStr">
        <is>
          <t>Prior period and payment evidence</t>
        </is>
      </c>
      <c r="F67" s="15" t="inlineStr">
        <is>
          <t>When applicable</t>
        </is>
      </c>
      <c r="G67" s="15" t="inlineStr">
        <is>
          <t>Adjustment row</t>
        </is>
      </c>
      <c r="H67" s="15" t="inlineStr">
        <is>
          <t>Specified</t>
        </is>
      </c>
    </row>
    <row r="68" ht="46" customHeight="1">
      <c r="A68" s="12" t="inlineStr">
        <is>
          <t>Schedule 1</t>
        </is>
      </c>
      <c r="B68" s="12" t="inlineStr">
        <is>
          <t>S1.1.7</t>
        </is>
      </c>
      <c r="C68" s="12" t="inlineStr">
        <is>
          <t>Adjustment row 1: Adjustment = column 6 less 5</t>
        </is>
      </c>
      <c r="D68" s="12" t="inlineStr">
        <is>
          <t>Calculation</t>
        </is>
      </c>
      <c r="E68" s="12" t="inlineStr">
        <is>
          <t>Prior period and payment evidence</t>
        </is>
      </c>
      <c r="F68" s="12" t="inlineStr">
        <is>
          <t>Column 6 minus column 5</t>
        </is>
      </c>
      <c r="G68" s="12" t="inlineStr">
        <is>
          <t>Adjustment row</t>
        </is>
      </c>
      <c r="H68" s="12" t="inlineStr">
        <is>
          <t>Specified</t>
        </is>
      </c>
    </row>
    <row r="69" ht="46" customHeight="1">
      <c r="A69" s="15" t="inlineStr">
        <is>
          <t>Schedule 1</t>
        </is>
      </c>
      <c r="B69" s="15" t="inlineStr">
        <is>
          <t>S1.2.1</t>
        </is>
      </c>
      <c r="C69" s="15" t="inlineStr">
        <is>
          <t>Adjustment row 2: Previous month</t>
        </is>
      </c>
      <c r="D69" s="15" t="inlineStr">
        <is>
          <t>Period</t>
        </is>
      </c>
      <c r="E69" s="15" t="inlineStr">
        <is>
          <t>Prior period and payment evidence</t>
        </is>
      </c>
      <c r="F69" s="15" t="inlineStr">
        <is>
          <t>When applicable</t>
        </is>
      </c>
      <c r="G69" s="15" t="inlineStr">
        <is>
          <t>Adjustment row</t>
        </is>
      </c>
      <c r="H69" s="15" t="inlineStr">
        <is>
          <t>Specified</t>
        </is>
      </c>
    </row>
    <row r="70" ht="46" customHeight="1">
      <c r="A70" s="12" t="inlineStr">
        <is>
          <t>Schedule 1</t>
        </is>
      </c>
      <c r="B70" s="12" t="inlineStr">
        <is>
          <t>S1.2.2</t>
        </is>
      </c>
      <c r="C70" s="12" t="inlineStr">
        <is>
          <t>Adjustment row 2: Date paid</t>
        </is>
      </c>
      <c r="D70" s="12" t="inlineStr">
        <is>
          <t>Payment</t>
        </is>
      </c>
      <c r="E70" s="12" t="inlineStr">
        <is>
          <t>Prior period and payment evidence</t>
        </is>
      </c>
      <c r="F70" s="12" t="inlineStr">
        <is>
          <t>When applicable</t>
        </is>
      </c>
      <c r="G70" s="12" t="inlineStr">
        <is>
          <t>Adjustment row</t>
        </is>
      </c>
      <c r="H70" s="12" t="inlineStr">
        <is>
          <t>Specified</t>
        </is>
      </c>
    </row>
    <row r="71" ht="46" customHeight="1">
      <c r="A71" s="15" t="inlineStr">
        <is>
          <t>Schedule 1</t>
        </is>
      </c>
      <c r="B71" s="15" t="inlineStr">
        <is>
          <t>S1.2.3</t>
        </is>
      </c>
      <c r="C71" s="15" t="inlineStr">
        <is>
          <t>Adjustment row 2: Drawee bank / code / agency</t>
        </is>
      </c>
      <c r="D71" s="15" t="inlineStr">
        <is>
          <t>Payment</t>
        </is>
      </c>
      <c r="E71" s="15" t="inlineStr">
        <is>
          <t>Prior period and payment evidence</t>
        </is>
      </c>
      <c r="F71" s="15" t="inlineStr">
        <is>
          <t>When applicable</t>
        </is>
      </c>
      <c r="G71" s="15" t="inlineStr">
        <is>
          <t>Adjustment row</t>
        </is>
      </c>
      <c r="H71" s="15" t="inlineStr">
        <is>
          <t>Specified</t>
        </is>
      </c>
    </row>
    <row r="72" ht="46" customHeight="1">
      <c r="A72" s="12" t="inlineStr">
        <is>
          <t>Schedule 1</t>
        </is>
      </c>
      <c r="B72" s="12" t="inlineStr">
        <is>
          <t>S1.2.4</t>
        </is>
      </c>
      <c r="C72" s="12" t="inlineStr">
        <is>
          <t>Adjustment row 2: Number</t>
        </is>
      </c>
      <c r="D72" s="12" t="inlineStr">
        <is>
          <t>Payment</t>
        </is>
      </c>
      <c r="E72" s="12" t="inlineStr">
        <is>
          <t>Prior period and payment evidence</t>
        </is>
      </c>
      <c r="F72" s="12" t="inlineStr">
        <is>
          <t>When applicable</t>
        </is>
      </c>
      <c r="G72" s="12" t="inlineStr">
        <is>
          <t>Adjustment row</t>
        </is>
      </c>
      <c r="H72" s="12" t="inlineStr">
        <is>
          <t>Specified</t>
        </is>
      </c>
    </row>
    <row r="73" ht="46" customHeight="1">
      <c r="A73" s="15" t="inlineStr">
        <is>
          <t>Schedule 1</t>
        </is>
      </c>
      <c r="B73" s="15" t="inlineStr">
        <is>
          <t>S1.2.5</t>
        </is>
      </c>
      <c r="C73" s="15" t="inlineStr">
        <is>
          <t>Adjustment row 2: Tax paid excluding penalties</t>
        </is>
      </c>
      <c r="D73" s="15" t="inlineStr">
        <is>
          <t>Prior return</t>
        </is>
      </c>
      <c r="E73" s="15" t="inlineStr">
        <is>
          <t>Prior period and payment evidence</t>
        </is>
      </c>
      <c r="F73" s="15" t="inlineStr">
        <is>
          <t>When applicable</t>
        </is>
      </c>
      <c r="G73" s="15" t="inlineStr">
        <is>
          <t>Adjustment row</t>
        </is>
      </c>
      <c r="H73" s="15" t="inlineStr">
        <is>
          <t>Specified</t>
        </is>
      </c>
    </row>
    <row r="74" ht="46" customHeight="1">
      <c r="A74" s="12" t="inlineStr">
        <is>
          <t>Schedule 1</t>
        </is>
      </c>
      <c r="B74" s="12" t="inlineStr">
        <is>
          <t>S1.2.6</t>
        </is>
      </c>
      <c r="C74" s="12" t="inlineStr">
        <is>
          <t>Adjustment row 2: Should be tax due</t>
        </is>
      </c>
      <c r="D74" s="12" t="inlineStr">
        <is>
          <t>Reviewed adjustment</t>
        </is>
      </c>
      <c r="E74" s="12" t="inlineStr">
        <is>
          <t>Prior period and payment evidence</t>
        </is>
      </c>
      <c r="F74" s="12" t="inlineStr">
        <is>
          <t>When applicable</t>
        </is>
      </c>
      <c r="G74" s="12" t="inlineStr">
        <is>
          <t>Adjustment row</t>
        </is>
      </c>
      <c r="H74" s="12" t="inlineStr">
        <is>
          <t>Specified</t>
        </is>
      </c>
    </row>
    <row r="75" ht="46" customHeight="1">
      <c r="A75" s="15" t="inlineStr">
        <is>
          <t>Schedule 1</t>
        </is>
      </c>
      <c r="B75" s="15" t="inlineStr">
        <is>
          <t>S1.2.7</t>
        </is>
      </c>
      <c r="C75" s="15" t="inlineStr">
        <is>
          <t>Adjustment row 2: Adjustment = column 6 less 5</t>
        </is>
      </c>
      <c r="D75" s="15" t="inlineStr">
        <is>
          <t>Calculation</t>
        </is>
      </c>
      <c r="E75" s="15" t="inlineStr">
        <is>
          <t>Prior period and payment evidence</t>
        </is>
      </c>
      <c r="F75" s="15" t="inlineStr">
        <is>
          <t>Column 6 minus column 5</t>
        </is>
      </c>
      <c r="G75" s="15" t="inlineStr">
        <is>
          <t>Adjustment row</t>
        </is>
      </c>
      <c r="H75" s="15" t="inlineStr">
        <is>
          <t>Specified</t>
        </is>
      </c>
    </row>
    <row r="76" ht="46" customHeight="1">
      <c r="A76" s="12" t="inlineStr">
        <is>
          <t>Schedule 1</t>
        </is>
      </c>
      <c r="B76" s="12" t="inlineStr">
        <is>
          <t>S1.3.1</t>
        </is>
      </c>
      <c r="C76" s="12" t="inlineStr">
        <is>
          <t>Adjustment row 3: Previous month</t>
        </is>
      </c>
      <c r="D76" s="12" t="inlineStr">
        <is>
          <t>Period</t>
        </is>
      </c>
      <c r="E76" s="12" t="inlineStr">
        <is>
          <t>Prior period and payment evidence</t>
        </is>
      </c>
      <c r="F76" s="12" t="inlineStr">
        <is>
          <t>When applicable</t>
        </is>
      </c>
      <c r="G76" s="12" t="inlineStr">
        <is>
          <t>Adjustment row</t>
        </is>
      </c>
      <c r="H76" s="12" t="inlineStr">
        <is>
          <t>Specified</t>
        </is>
      </c>
    </row>
    <row r="77" ht="46" customHeight="1">
      <c r="A77" s="15" t="inlineStr">
        <is>
          <t>Schedule 1</t>
        </is>
      </c>
      <c r="B77" s="15" t="inlineStr">
        <is>
          <t>S1.3.2</t>
        </is>
      </c>
      <c r="C77" s="15" t="inlineStr">
        <is>
          <t>Adjustment row 3: Date paid</t>
        </is>
      </c>
      <c r="D77" s="15" t="inlineStr">
        <is>
          <t>Payment</t>
        </is>
      </c>
      <c r="E77" s="15" t="inlineStr">
        <is>
          <t>Prior period and payment evidence</t>
        </is>
      </c>
      <c r="F77" s="15" t="inlineStr">
        <is>
          <t>When applicable</t>
        </is>
      </c>
      <c r="G77" s="15" t="inlineStr">
        <is>
          <t>Adjustment row</t>
        </is>
      </c>
      <c r="H77" s="15" t="inlineStr">
        <is>
          <t>Specified</t>
        </is>
      </c>
    </row>
    <row r="78" ht="46" customHeight="1">
      <c r="A78" s="12" t="inlineStr">
        <is>
          <t>Schedule 1</t>
        </is>
      </c>
      <c r="B78" s="12" t="inlineStr">
        <is>
          <t>S1.3.3</t>
        </is>
      </c>
      <c r="C78" s="12" t="inlineStr">
        <is>
          <t>Adjustment row 3: Drawee bank / code / agency</t>
        </is>
      </c>
      <c r="D78" s="12" t="inlineStr">
        <is>
          <t>Payment</t>
        </is>
      </c>
      <c r="E78" s="12" t="inlineStr">
        <is>
          <t>Prior period and payment evidence</t>
        </is>
      </c>
      <c r="F78" s="12" t="inlineStr">
        <is>
          <t>When applicable</t>
        </is>
      </c>
      <c r="G78" s="12" t="inlineStr">
        <is>
          <t>Adjustment row</t>
        </is>
      </c>
      <c r="H78" s="12" t="inlineStr">
        <is>
          <t>Specified</t>
        </is>
      </c>
    </row>
    <row r="79" ht="46" customHeight="1">
      <c r="A79" s="15" t="inlineStr">
        <is>
          <t>Schedule 1</t>
        </is>
      </c>
      <c r="B79" s="15" t="inlineStr">
        <is>
          <t>S1.3.4</t>
        </is>
      </c>
      <c r="C79" s="15" t="inlineStr">
        <is>
          <t>Adjustment row 3: Number</t>
        </is>
      </c>
      <c r="D79" s="15" t="inlineStr">
        <is>
          <t>Payment</t>
        </is>
      </c>
      <c r="E79" s="15" t="inlineStr">
        <is>
          <t>Prior period and payment evidence</t>
        </is>
      </c>
      <c r="F79" s="15" t="inlineStr">
        <is>
          <t>When applicable</t>
        </is>
      </c>
      <c r="G79" s="15" t="inlineStr">
        <is>
          <t>Adjustment row</t>
        </is>
      </c>
      <c r="H79" s="15" t="inlineStr">
        <is>
          <t>Specified</t>
        </is>
      </c>
    </row>
    <row r="80" ht="46" customHeight="1">
      <c r="A80" s="12" t="inlineStr">
        <is>
          <t>Schedule 1</t>
        </is>
      </c>
      <c r="B80" s="12" t="inlineStr">
        <is>
          <t>S1.3.5</t>
        </is>
      </c>
      <c r="C80" s="12" t="inlineStr">
        <is>
          <t>Adjustment row 3: Tax paid excluding penalties</t>
        </is>
      </c>
      <c r="D80" s="12" t="inlineStr">
        <is>
          <t>Prior return</t>
        </is>
      </c>
      <c r="E80" s="12" t="inlineStr">
        <is>
          <t>Prior period and payment evidence</t>
        </is>
      </c>
      <c r="F80" s="12" t="inlineStr">
        <is>
          <t>When applicable</t>
        </is>
      </c>
      <c r="G80" s="12" t="inlineStr">
        <is>
          <t>Adjustment row</t>
        </is>
      </c>
      <c r="H80" s="12" t="inlineStr">
        <is>
          <t>Specified</t>
        </is>
      </c>
    </row>
    <row r="81" ht="46" customHeight="1">
      <c r="A81" s="15" t="inlineStr">
        <is>
          <t>Schedule 1</t>
        </is>
      </c>
      <c r="B81" s="15" t="inlineStr">
        <is>
          <t>S1.3.6</t>
        </is>
      </c>
      <c r="C81" s="15" t="inlineStr">
        <is>
          <t>Adjustment row 3: Should be tax due</t>
        </is>
      </c>
      <c r="D81" s="15" t="inlineStr">
        <is>
          <t>Reviewed adjustment</t>
        </is>
      </c>
      <c r="E81" s="15" t="inlineStr">
        <is>
          <t>Prior period and payment evidence</t>
        </is>
      </c>
      <c r="F81" s="15" t="inlineStr">
        <is>
          <t>When applicable</t>
        </is>
      </c>
      <c r="G81" s="15" t="inlineStr">
        <is>
          <t>Adjustment row</t>
        </is>
      </c>
      <c r="H81" s="15" t="inlineStr">
        <is>
          <t>Specified</t>
        </is>
      </c>
    </row>
    <row r="82" ht="46" customHeight="1">
      <c r="A82" s="12" t="inlineStr">
        <is>
          <t>Schedule 1</t>
        </is>
      </c>
      <c r="B82" s="12" t="inlineStr">
        <is>
          <t>S1.3.7</t>
        </is>
      </c>
      <c r="C82" s="12" t="inlineStr">
        <is>
          <t>Adjustment row 3: Adjustment = column 6 less 5</t>
        </is>
      </c>
      <c r="D82" s="12" t="inlineStr">
        <is>
          <t>Calculation</t>
        </is>
      </c>
      <c r="E82" s="12" t="inlineStr">
        <is>
          <t>Prior period and payment evidence</t>
        </is>
      </c>
      <c r="F82" s="12" t="inlineStr">
        <is>
          <t>Column 6 minus column 5</t>
        </is>
      </c>
      <c r="G82" s="12" t="inlineStr">
        <is>
          <t>Adjustment row</t>
        </is>
      </c>
      <c r="H82" s="12" t="inlineStr">
        <is>
          <t>Specified</t>
        </is>
      </c>
    </row>
    <row r="83" ht="46" customHeight="1">
      <c r="A83" s="15" t="inlineStr">
        <is>
          <t>Schedule 1</t>
        </is>
      </c>
      <c r="B83" s="15" t="inlineStr">
        <is>
          <t>S1.4</t>
        </is>
      </c>
      <c r="C83" s="15" t="inlineStr">
        <is>
          <t>Total adjustment</t>
        </is>
      </c>
      <c r="D83" s="15" t="inlineStr">
        <is>
          <t>Calculated</t>
        </is>
      </c>
      <c r="E83" s="15" t="inlineStr">
        <is>
          <t>Sum adjustment column for rows 1–3</t>
        </is>
      </c>
      <c r="F83" s="15" t="inlineStr">
        <is>
          <t>Carries to II.26</t>
        </is>
      </c>
      <c r="G83" s="15" t="inlineStr">
        <is>
          <t>Return</t>
        </is>
      </c>
      <c r="H83" s="15" t="inlineStr">
        <is>
          <t>Specified</t>
        </is>
      </c>
    </row>
    <row r="84">
      <c r="A84" s="15" t="inlineStr">
        <is>
          <t>III</t>
        </is>
      </c>
      <c r="B84" s="15" t="inlineStr">
        <is>
          <t>III.40.particular</t>
        </is>
      </c>
      <c r="C84" s="15" t="inlineStr">
        <is>
          <t>Other payment: particulars (txtParticular40)</t>
        </is>
      </c>
      <c r="D84" s="15" t="inlineStr">
        <is>
          <t>Payment</t>
        </is>
      </c>
      <c r="E84" s="15" t="inlineStr">
        <is>
          <t>Payment evidence</t>
        </is>
      </c>
      <c r="F84" s="15" t="inlineStr">
        <is>
          <t>Record if method 40 is used; unmapped in pinned schema</t>
        </is>
      </c>
      <c r="G84" s="15" t="inlineStr">
        <is>
          <t>Payment row</t>
        </is>
      </c>
      <c r="H84" s="15" t="inlineStr">
        <is>
          <t>Specified; added by correction 31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21" customWidth="1" min="2" max="2"/>
    <col width="44" customWidth="1" min="3" max="3"/>
    <col width="22" customWidth="1" min="4" max="4"/>
    <col width="42" customWidth="1" min="5" max="5"/>
    <col width="55" customWidth="1" min="6" max="6"/>
    <col width="20" customWidth="1" min="7" max="7"/>
    <col width="18" customWidth="1" min="8" max="8"/>
  </cols>
  <sheetData>
    <row r="1" ht="24" customHeight="1">
      <c r="A1" s="1" t="inlineStr">
        <is>
          <t>1701-MS field dictionary</t>
        </is>
      </c>
    </row>
    <row r="2" ht="24" customHeight="1">
      <c r="A2" s="2" t="inlineStr">
        <is>
          <t>August 2024, 2 pages. Field IDs include Part and item; each A/B field is separately scoped to taxpayer or spouse.</t>
        </is>
      </c>
    </row>
    <row r="3" ht="24" customHeight="1">
      <c r="A3" s="3" t="inlineStr">
        <is>
          <t>All numbered fields are inventoried. Compensation uses the owner’s 2316, not the company’s 1601-C payroll. Official source S3.</t>
        </is>
      </c>
    </row>
    <row r="5" ht="32" customHeight="1">
      <c r="A5" s="14" t="inlineStr">
        <is>
          <t>Section</t>
        </is>
      </c>
      <c r="B5" s="14" t="inlineStr">
        <is>
          <t>Field ID</t>
        </is>
      </c>
      <c r="C5" s="14" t="inlineStr">
        <is>
          <t>BIR field</t>
        </is>
      </c>
      <c r="D5" s="14" t="inlineStr">
        <is>
          <t>Origin</t>
        </is>
      </c>
      <c r="E5" s="14" t="inlineStr">
        <is>
          <t>Source / data</t>
        </is>
      </c>
      <c r="F5" s="14" t="inlineStr">
        <is>
          <t>Rule or condition</t>
        </is>
      </c>
      <c r="G5" s="14" t="inlineStr">
        <is>
          <t>Grain</t>
        </is>
      </c>
      <c r="H5" s="14" t="inlineStr">
        <is>
          <t>Status</t>
        </is>
      </c>
    </row>
    <row r="6" ht="46" customHeight="1">
      <c r="A6" s="12" t="inlineStr">
        <is>
          <t>Header</t>
        </is>
      </c>
      <c r="B6" s="12" t="inlineStr">
        <is>
          <t>H.1</t>
        </is>
      </c>
      <c r="C6" s="12" t="inlineStr">
        <is>
          <t>For the year (MM/YYYY)</t>
        </is>
      </c>
      <c r="D6" s="12" t="inlineStr">
        <is>
          <t>Period</t>
        </is>
      </c>
      <c r="E6" s="12" t="inlineStr">
        <is>
          <t>Tax year</t>
        </is>
      </c>
      <c r="F6" s="12" t="inlineStr">
        <is>
          <t>Annual</t>
        </is>
      </c>
      <c r="G6" s="12" t="inlineStr">
        <is>
          <t>Return</t>
        </is>
      </c>
      <c r="H6" s="12" t="inlineStr">
        <is>
          <t>Specified</t>
        </is>
      </c>
    </row>
    <row r="7" ht="46" customHeight="1">
      <c r="A7" s="15" t="inlineStr">
        <is>
          <t>Header</t>
        </is>
      </c>
      <c r="B7" s="15" t="inlineStr">
        <is>
          <t>H.2</t>
        </is>
      </c>
      <c r="C7" s="15" t="inlineStr">
        <is>
          <t>Amended return?</t>
        </is>
      </c>
      <c r="D7" s="15" t="inlineStr">
        <is>
          <t>Filing</t>
        </is>
      </c>
      <c r="E7" s="15" t="inlineStr">
        <is>
          <t>Return version</t>
        </is>
      </c>
      <c r="F7" s="15" t="inlineStr">
        <is>
          <t>Link original</t>
        </is>
      </c>
      <c r="G7" s="15" t="inlineStr">
        <is>
          <t>Return</t>
        </is>
      </c>
      <c r="H7" s="15" t="inlineStr">
        <is>
          <t>Specified</t>
        </is>
      </c>
    </row>
    <row r="8" ht="46" customHeight="1">
      <c r="A8" s="12" t="inlineStr">
        <is>
          <t>Header</t>
        </is>
      </c>
      <c r="B8" s="12" t="inlineStr">
        <is>
          <t>H.3</t>
        </is>
      </c>
      <c r="C8" s="12" t="inlineStr">
        <is>
          <t>Short period return?</t>
        </is>
      </c>
      <c r="D8" s="12" t="inlineStr">
        <is>
          <t>Filing</t>
        </is>
      </c>
      <c r="E8" s="12" t="inlineStr">
        <is>
          <t>Period metadata</t>
        </is>
      </c>
      <c r="F8" s="12" t="inlineStr">
        <is>
          <t>Yes/No</t>
        </is>
      </c>
      <c r="G8" s="12" t="inlineStr">
        <is>
          <t>Return</t>
        </is>
      </c>
      <c r="H8" s="12" t="inlineStr">
        <is>
          <t>Specified</t>
        </is>
      </c>
    </row>
    <row r="9" ht="46" customHeight="1">
      <c r="A9" s="15" t="inlineStr">
        <is>
          <t>Header</t>
        </is>
      </c>
      <c r="B9" s="15" t="inlineStr">
        <is>
          <t>H.4</t>
        </is>
      </c>
      <c r="C9" s="15" t="inlineStr">
        <is>
          <t>Civil status</t>
        </is>
      </c>
      <c r="D9" s="15" t="inlineStr">
        <is>
          <t>Person profile</t>
        </is>
      </c>
      <c r="E9" s="15" t="inlineStr">
        <is>
          <t>Taxpayer civil status</t>
        </is>
      </c>
      <c r="F9" s="15" t="inlineStr">
        <is>
          <t>Not a business category</t>
        </is>
      </c>
      <c r="G9" s="15" t="inlineStr">
        <is>
          <t>Return</t>
        </is>
      </c>
      <c r="H9" s="15" t="inlineStr">
        <is>
          <t>Specified</t>
        </is>
      </c>
    </row>
    <row r="10" ht="46" customHeight="1">
      <c r="A10" s="12" t="inlineStr">
        <is>
          <t>Header</t>
        </is>
      </c>
      <c r="B10" s="12" t="inlineStr">
        <is>
          <t>H.5</t>
        </is>
      </c>
      <c r="C10" s="12" t="inlineStr">
        <is>
          <t>If married, filing jointly / separately / spouse no income</t>
        </is>
      </c>
      <c r="D10" s="12" t="inlineStr">
        <is>
          <t>Person profile</t>
        </is>
      </c>
      <c r="E10" s="12" t="inlineStr">
        <is>
          <t>Filing election</t>
        </is>
      </c>
      <c r="F10" s="12" t="inlineStr">
        <is>
          <t>Confirm person-specific columns</t>
        </is>
      </c>
      <c r="G10" s="12" t="inlineStr">
        <is>
          <t>Return</t>
        </is>
      </c>
      <c r="H10" s="12" t="inlineStr">
        <is>
          <t>Specified</t>
        </is>
      </c>
    </row>
    <row r="11" ht="46" customHeight="1">
      <c r="A11" s="15" t="inlineStr">
        <is>
          <t>I</t>
        </is>
      </c>
      <c r="B11" s="15" t="inlineStr">
        <is>
          <t>I.6</t>
        </is>
      </c>
      <c r="C11" s="15" t="inlineStr">
        <is>
          <t>TIN</t>
        </is>
      </c>
      <c r="D11" s="15" t="inlineStr">
        <is>
          <t>Profile / election</t>
        </is>
      </c>
      <c r="E11" s="15" t="inlineStr">
        <is>
          <t>Taxpayer / spouse TIN</t>
        </is>
      </c>
      <c r="F11" s="15" t="inlineStr">
        <is>
          <t>Conditional; evaluate each taxpayer or spouse separately</t>
        </is>
      </c>
      <c r="G11" s="15" t="inlineStr">
        <is>
          <t>Person A / B</t>
        </is>
      </c>
      <c r="H11" s="15" t="inlineStr">
        <is>
          <t>Specified</t>
        </is>
      </c>
    </row>
    <row r="12" ht="46" customHeight="1">
      <c r="A12" s="12" t="inlineStr">
        <is>
          <t>I</t>
        </is>
      </c>
      <c r="B12" s="12" t="inlineStr">
        <is>
          <t>I.7</t>
        </is>
      </c>
      <c r="C12" s="12" t="inlineStr">
        <is>
          <t>RDO code</t>
        </is>
      </c>
      <c r="D12" s="12" t="inlineStr">
        <is>
          <t>Profile / election</t>
        </is>
      </c>
      <c r="E12" s="12" t="inlineStr">
        <is>
          <t>Person registration</t>
        </is>
      </c>
      <c r="F12" s="12" t="inlineStr">
        <is>
          <t>Conditional; evaluate each taxpayer or spouse separately</t>
        </is>
      </c>
      <c r="G12" s="12" t="inlineStr">
        <is>
          <t>Person A / B</t>
        </is>
      </c>
      <c r="H12" s="12" t="inlineStr">
        <is>
          <t>Specified</t>
        </is>
      </c>
    </row>
    <row r="13" ht="46" customHeight="1">
      <c r="A13" s="15" t="inlineStr">
        <is>
          <t>I</t>
        </is>
      </c>
      <c r="B13" s="15" t="inlineStr">
        <is>
          <t>I.8</t>
        </is>
      </c>
      <c r="C13" s="15" t="inlineStr">
        <is>
          <t>Name</t>
        </is>
      </c>
      <c r="D13" s="15" t="inlineStr">
        <is>
          <t>Profile / election</t>
        </is>
      </c>
      <c r="E13" s="15" t="inlineStr">
        <is>
          <t>Taxpayer / spouse name</t>
        </is>
      </c>
      <c r="F13" s="15" t="inlineStr">
        <is>
          <t>Conditional; evaluate each taxpayer or spouse separately</t>
        </is>
      </c>
      <c r="G13" s="15" t="inlineStr">
        <is>
          <t>Person A / B</t>
        </is>
      </c>
      <c r="H13" s="15" t="inlineStr">
        <is>
          <t>Specified</t>
        </is>
      </c>
    </row>
    <row r="14" ht="46" customHeight="1">
      <c r="A14" s="12" t="inlineStr">
        <is>
          <t>I</t>
        </is>
      </c>
      <c r="B14" s="12" t="inlineStr">
        <is>
          <t>I.9</t>
        </is>
      </c>
      <c r="C14" s="12" t="inlineStr">
        <is>
          <t>Email address</t>
        </is>
      </c>
      <c r="D14" s="12" t="inlineStr">
        <is>
          <t>Profile / election</t>
        </is>
      </c>
      <c r="E14" s="12" t="inlineStr">
        <is>
          <t>Person contact</t>
        </is>
      </c>
      <c r="F14" s="12" t="inlineStr">
        <is>
          <t>Conditional; evaluate each taxpayer or spouse separately</t>
        </is>
      </c>
      <c r="G14" s="12" t="inlineStr">
        <is>
          <t>Person A / B</t>
        </is>
      </c>
      <c r="H14" s="12" t="inlineStr">
        <is>
          <t>Specified</t>
        </is>
      </c>
    </row>
    <row r="15" ht="46" customHeight="1">
      <c r="A15" s="15" t="inlineStr">
        <is>
          <t>I</t>
        </is>
      </c>
      <c r="B15" s="15" t="inlineStr">
        <is>
          <t>I.10</t>
        </is>
      </c>
      <c r="C15" s="15" t="inlineStr">
        <is>
          <t>Contact number</t>
        </is>
      </c>
      <c r="D15" s="15" t="inlineStr">
        <is>
          <t>Profile / election</t>
        </is>
      </c>
      <c r="E15" s="15" t="inlineStr">
        <is>
          <t>Person contact</t>
        </is>
      </c>
      <c r="F15" s="15" t="inlineStr">
        <is>
          <t>Conditional; evaluate each taxpayer or spouse separately</t>
        </is>
      </c>
      <c r="G15" s="15" t="inlineStr">
        <is>
          <t>Person A / B</t>
        </is>
      </c>
      <c r="H15" s="15" t="inlineStr">
        <is>
          <t>Specified</t>
        </is>
      </c>
    </row>
    <row r="16" ht="46" customHeight="1">
      <c r="A16" s="12" t="inlineStr">
        <is>
          <t>I</t>
        </is>
      </c>
      <c r="B16" s="12" t="inlineStr">
        <is>
          <t>I.11</t>
        </is>
      </c>
      <c r="C16" s="12" t="inlineStr">
        <is>
          <t>Source of income</t>
        </is>
      </c>
      <c r="D16" s="12" t="inlineStr">
        <is>
          <t>Profile / election</t>
        </is>
      </c>
      <c r="E16" s="12" t="inlineStr">
        <is>
          <t>Business / profession / mixed / spouse compensation</t>
        </is>
      </c>
      <c r="F16" s="12" t="inlineStr">
        <is>
          <t>Conditional; evaluate each taxpayer or spouse separately</t>
        </is>
      </c>
      <c r="G16" s="12" t="inlineStr">
        <is>
          <t>Person A / B</t>
        </is>
      </c>
      <c r="H16" s="12" t="inlineStr">
        <is>
          <t>Specified</t>
        </is>
      </c>
    </row>
    <row r="17" ht="46" customHeight="1">
      <c r="A17" s="15" t="inlineStr">
        <is>
          <t>I</t>
        </is>
      </c>
      <c r="B17" s="15" t="inlineStr">
        <is>
          <t>I.12</t>
        </is>
      </c>
      <c r="C17" s="15" t="inlineStr">
        <is>
          <t>Income subject to</t>
        </is>
      </c>
      <c r="D17" s="15" t="inlineStr">
        <is>
          <t>Profile / election</t>
        </is>
      </c>
      <c r="E17" s="15" t="inlineStr">
        <is>
          <t>Graduated / 8% / special / exempt</t>
        </is>
      </c>
      <c r="F17" s="15" t="inlineStr">
        <is>
          <t>Conditional; evaluate each taxpayer or spouse separately</t>
        </is>
      </c>
      <c r="G17" s="15" t="inlineStr">
        <is>
          <t>Person A / B</t>
        </is>
      </c>
      <c r="H17" s="15" t="inlineStr">
        <is>
          <t>Specified</t>
        </is>
      </c>
    </row>
    <row r="18" ht="46" customHeight="1">
      <c r="A18" s="12" t="inlineStr">
        <is>
          <t>I</t>
        </is>
      </c>
      <c r="B18" s="12" t="inlineStr">
        <is>
          <t>I.13</t>
        </is>
      </c>
      <c r="C18" s="12" t="inlineStr">
        <is>
          <t>Legal basis of relief / exemption</t>
        </is>
      </c>
      <c r="D18" s="12" t="inlineStr">
        <is>
          <t>Profile / election</t>
        </is>
      </c>
      <c r="E18" s="12" t="inlineStr">
        <is>
          <t>Relief authority</t>
        </is>
      </c>
      <c r="F18" s="12" t="inlineStr">
        <is>
          <t>Conditional; evaluate each taxpayer or spouse separately</t>
        </is>
      </c>
      <c r="G18" s="12" t="inlineStr">
        <is>
          <t>Person A / B</t>
        </is>
      </c>
      <c r="H18" s="12" t="inlineStr">
        <is>
          <t>Specified</t>
        </is>
      </c>
    </row>
    <row r="19" ht="46" customHeight="1">
      <c r="A19" s="15" t="inlineStr">
        <is>
          <t>I</t>
        </is>
      </c>
      <c r="B19" s="15" t="inlineStr">
        <is>
          <t>I.14</t>
        </is>
      </c>
      <c r="C19" s="15" t="inlineStr">
        <is>
          <t>Investment promotion / government agency</t>
        </is>
      </c>
      <c r="D19" s="15" t="inlineStr">
        <is>
          <t>Profile / election</t>
        </is>
      </c>
      <c r="E19" s="15" t="inlineStr">
        <is>
          <t>Relief authority</t>
        </is>
      </c>
      <c r="F19" s="15" t="inlineStr">
        <is>
          <t>Conditional; evaluate each taxpayer or spouse separately</t>
        </is>
      </c>
      <c r="G19" s="15" t="inlineStr">
        <is>
          <t>Person A / B</t>
        </is>
      </c>
      <c r="H19" s="15" t="inlineStr">
        <is>
          <t>Specified</t>
        </is>
      </c>
    </row>
    <row r="20" ht="46" customHeight="1">
      <c r="A20" s="12" t="inlineStr">
        <is>
          <t>I</t>
        </is>
      </c>
      <c r="B20" s="12" t="inlineStr">
        <is>
          <t>I.15</t>
        </is>
      </c>
      <c r="C20" s="12" t="inlineStr">
        <is>
          <t>Registered activity / program number</t>
        </is>
      </c>
      <c r="D20" s="12" t="inlineStr">
        <is>
          <t>Profile / election</t>
        </is>
      </c>
      <c r="E20" s="12" t="inlineStr">
        <is>
          <t>Registration</t>
        </is>
      </c>
      <c r="F20" s="12" t="inlineStr">
        <is>
          <t>Conditional; evaluate each taxpayer or spouse separately</t>
        </is>
      </c>
      <c r="G20" s="12" t="inlineStr">
        <is>
          <t>Person A / B</t>
        </is>
      </c>
      <c r="H20" s="12" t="inlineStr">
        <is>
          <t>Specified</t>
        </is>
      </c>
    </row>
    <row r="21" ht="46" customHeight="1">
      <c r="A21" s="15" t="inlineStr">
        <is>
          <t>I</t>
        </is>
      </c>
      <c r="B21" s="15" t="inlineStr">
        <is>
          <t>I.16</t>
        </is>
      </c>
      <c r="C21" s="15" t="inlineStr">
        <is>
          <t>Relief effective from / to</t>
        </is>
      </c>
      <c r="D21" s="15" t="inlineStr">
        <is>
          <t>Profile / election</t>
        </is>
      </c>
      <c r="E21" s="15" t="inlineStr">
        <is>
          <t>Registration dates</t>
        </is>
      </c>
      <c r="F21" s="15" t="inlineStr">
        <is>
          <t>Conditional; evaluate each taxpayer or spouse separately</t>
        </is>
      </c>
      <c r="G21" s="15" t="inlineStr">
        <is>
          <t>Person A / B</t>
        </is>
      </c>
      <c r="H21" s="15" t="inlineStr">
        <is>
          <t>Specified</t>
        </is>
      </c>
    </row>
    <row r="22" ht="46" customHeight="1">
      <c r="A22" s="12" t="inlineStr">
        <is>
          <t>I</t>
        </is>
      </c>
      <c r="B22" s="12" t="inlineStr">
        <is>
          <t>I.17</t>
        </is>
      </c>
      <c r="C22" s="12" t="inlineStr">
        <is>
          <t>Method of deduction</t>
        </is>
      </c>
      <c r="D22" s="12" t="inlineStr">
        <is>
          <t>Profile / election</t>
        </is>
      </c>
      <c r="E22" s="12" t="inlineStr">
        <is>
          <t>Itemized / OSD</t>
        </is>
      </c>
      <c r="F22" s="12" t="inlineStr">
        <is>
          <t>Conditional; evaluate each taxpayer or spouse separately</t>
        </is>
      </c>
      <c r="G22" s="12" t="inlineStr">
        <is>
          <t>Person A / B</t>
        </is>
      </c>
      <c r="H22" s="12" t="inlineStr">
        <is>
          <t>Specified</t>
        </is>
      </c>
    </row>
    <row r="23" ht="46" customHeight="1">
      <c r="A23" s="15" t="inlineStr">
        <is>
          <t>I</t>
        </is>
      </c>
      <c r="B23" s="15" t="inlineStr">
        <is>
          <t>I.18</t>
        </is>
      </c>
      <c r="C23" s="15" t="inlineStr">
        <is>
          <t>Alphanumeric tax code</t>
        </is>
      </c>
      <c r="D23" s="15" t="inlineStr">
        <is>
          <t>Profile / election</t>
        </is>
      </c>
      <c r="E23" s="15" t="inlineStr">
        <is>
          <t>Effective ATC / income source</t>
        </is>
      </c>
      <c r="F23" s="15" t="inlineStr">
        <is>
          <t>Conditional; evaluate each taxpayer or spouse separately Official box values (pinned schema): II011 to II017. Taxpayer binding maps II012 to II017 (no II011 binding); the spouse dropdown maps II011 (correction 34).</t>
        </is>
      </c>
      <c r="G23" s="15" t="inlineStr">
        <is>
          <t>Person A / B</t>
        </is>
      </c>
      <c r="H23" s="15" t="inlineStr">
        <is>
          <t>Specified</t>
        </is>
      </c>
    </row>
    <row r="24" ht="46" customHeight="1">
      <c r="A24" s="12" t="inlineStr">
        <is>
          <t>II</t>
        </is>
      </c>
      <c r="B24" s="12" t="inlineStr">
        <is>
          <t>II.19</t>
        </is>
      </c>
      <c r="C24" s="12" t="inlineStr">
        <is>
          <t>Income tax due – special / preferential</t>
        </is>
      </c>
      <c r="D24" s="12" t="inlineStr">
        <is>
          <t>Calculated</t>
        </is>
      </c>
      <c r="E24" s="12" t="inlineStr">
        <is>
          <t>IV.18A</t>
        </is>
      </c>
      <c r="F24" s="12" t="inlineStr">
        <is>
          <t>Person A / B</t>
        </is>
      </c>
      <c r="G24" s="12" t="inlineStr">
        <is>
          <t>Person A / B</t>
        </is>
      </c>
      <c r="H24" s="12" t="inlineStr">
        <is>
          <t>Specified</t>
        </is>
      </c>
    </row>
    <row r="25" ht="46" customHeight="1">
      <c r="A25" s="15" t="inlineStr">
        <is>
          <t>II</t>
        </is>
      </c>
      <c r="B25" s="15" t="inlineStr">
        <is>
          <t>II.20</t>
        </is>
      </c>
      <c r="C25" s="15" t="inlineStr">
        <is>
          <t>Share remitted to other government agency</t>
        </is>
      </c>
      <c r="D25" s="15" t="inlineStr">
        <is>
          <t>Payment / relief</t>
        </is>
      </c>
      <c r="E25" s="15" t="inlineStr">
        <is>
          <t>Agency remittance evidence</t>
        </is>
      </c>
      <c r="F25" s="15" t="inlineStr">
        <is>
          <t>Only if directly remitted</t>
        </is>
      </c>
      <c r="G25" s="15" t="inlineStr">
        <is>
          <t>Person A / B</t>
        </is>
      </c>
      <c r="H25" s="15" t="inlineStr">
        <is>
          <t>Specified</t>
        </is>
      </c>
    </row>
    <row r="26" ht="46" customHeight="1">
      <c r="A26" s="12" t="inlineStr">
        <is>
          <t>II</t>
        </is>
      </c>
      <c r="B26" s="12" t="inlineStr">
        <is>
          <t>II.21</t>
        </is>
      </c>
      <c r="C26" s="12" t="inlineStr">
        <is>
          <t>Net special / preferential tax</t>
        </is>
      </c>
      <c r="D26" s="12" t="inlineStr">
        <is>
          <t>Calculated</t>
        </is>
      </c>
      <c r="E26" s="12" t="inlineStr">
        <is>
          <t>II.19 - II.20</t>
        </is>
      </c>
      <c r="F26" s="12" t="inlineStr">
        <is>
          <t>Per person</t>
        </is>
      </c>
      <c r="G26" s="12" t="inlineStr">
        <is>
          <t>Person A / B</t>
        </is>
      </c>
      <c r="H26" s="12" t="inlineStr">
        <is>
          <t>Specified</t>
        </is>
      </c>
    </row>
    <row r="27" ht="46" customHeight="1">
      <c r="A27" s="15" t="inlineStr">
        <is>
          <t>II</t>
        </is>
      </c>
      <c r="B27" s="15" t="inlineStr">
        <is>
          <t>II.22</t>
        </is>
      </c>
      <c r="C27" s="15" t="inlineStr">
        <is>
          <t>Income tax due – regular</t>
        </is>
      </c>
      <c r="D27" s="15" t="inlineStr">
        <is>
          <t>Calculated</t>
        </is>
      </c>
      <c r="E27" s="15" t="inlineStr">
        <is>
          <t>IV.18B or IV.25</t>
        </is>
      </c>
      <c r="F27" s="15" t="inlineStr">
        <is>
          <t>Choose applicable regime</t>
        </is>
      </c>
      <c r="G27" s="15" t="inlineStr">
        <is>
          <t>Person A / B</t>
        </is>
      </c>
      <c r="H27" s="15" t="inlineStr">
        <is>
          <t>Specified</t>
        </is>
      </c>
    </row>
    <row r="28" ht="46" customHeight="1">
      <c r="A28" s="12" t="inlineStr">
        <is>
          <t>II</t>
        </is>
      </c>
      <c r="B28" s="12" t="inlineStr">
        <is>
          <t>II.23</t>
        </is>
      </c>
      <c r="C28" s="12" t="inlineStr">
        <is>
          <t>Total income tax due</t>
        </is>
      </c>
      <c r="D28" s="12" t="inlineStr">
        <is>
          <t>Calculated</t>
        </is>
      </c>
      <c r="E28" s="12" t="inlineStr">
        <is>
          <t>II.21 + II.22</t>
        </is>
      </c>
      <c r="F28" s="12" t="inlineStr">
        <is>
          <t>Per person</t>
        </is>
      </c>
      <c r="G28" s="12" t="inlineStr">
        <is>
          <t>Person A / B</t>
        </is>
      </c>
      <c r="H28" s="12" t="inlineStr">
        <is>
          <t>Specified</t>
        </is>
      </c>
    </row>
    <row r="29" ht="46" customHeight="1">
      <c r="A29" s="15" t="inlineStr">
        <is>
          <t>II</t>
        </is>
      </c>
      <c r="B29" s="15" t="inlineStr">
        <is>
          <t>II.24</t>
        </is>
      </c>
      <c r="C29" s="15" t="inlineStr">
        <is>
          <t>Total tax credits / payments</t>
        </is>
      </c>
      <c r="D29" s="15" t="inlineStr">
        <is>
          <t>Calculated</t>
        </is>
      </c>
      <c r="E29" s="15" t="inlineStr">
        <is>
          <t>V.10</t>
        </is>
      </c>
      <c r="F29" s="15" t="inlineStr">
        <is>
          <t>Use income-tax credits only</t>
        </is>
      </c>
      <c r="G29" s="15" t="inlineStr">
        <is>
          <t>Person A / B</t>
        </is>
      </c>
      <c r="H29" s="15" t="inlineStr">
        <is>
          <t>Specified</t>
        </is>
      </c>
    </row>
    <row r="30" ht="46" customHeight="1">
      <c r="A30" s="12" t="inlineStr">
        <is>
          <t>II</t>
        </is>
      </c>
      <c r="B30" s="12" t="inlineStr">
        <is>
          <t>II.25</t>
        </is>
      </c>
      <c r="C30" s="12" t="inlineStr">
        <is>
          <t>Tax payable / overpayment</t>
        </is>
      </c>
      <c r="D30" s="12" t="inlineStr">
        <is>
          <t>Calculated</t>
        </is>
      </c>
      <c r="E30" s="12" t="inlineStr">
        <is>
          <t>II.23 - II.24</t>
        </is>
      </c>
      <c r="F30" s="12" t="inlineStr">
        <is>
          <t>Preserve sign</t>
        </is>
      </c>
      <c r="G30" s="12" t="inlineStr">
        <is>
          <t>Person A / B</t>
        </is>
      </c>
      <c r="H30" s="12" t="inlineStr">
        <is>
          <t>Specified</t>
        </is>
      </c>
    </row>
    <row r="31" ht="46" customHeight="1">
      <c r="A31" s="15" t="inlineStr">
        <is>
          <t>II</t>
        </is>
      </c>
      <c r="B31" s="15" t="inlineStr">
        <is>
          <t>II.26</t>
        </is>
      </c>
      <c r="C31" s="15" t="inlineStr">
        <is>
          <t>Tax due allowed for second installment</t>
        </is>
      </c>
      <c r="D31" s="15" t="inlineStr">
        <is>
          <t>Filing election</t>
        </is>
      </c>
      <c r="E31" s="15" t="inlineStr">
        <is>
          <t>Installment conditions and filer election</t>
        </is>
      </c>
      <c r="F31" s="15" t="inlineStr">
        <is>
          <t>Do not assume automatic entitlement</t>
        </is>
      </c>
      <c r="G31" s="15" t="inlineStr">
        <is>
          <t>Person A / B</t>
        </is>
      </c>
      <c r="H31" s="15" t="inlineStr">
        <is>
          <t>Specified</t>
        </is>
      </c>
    </row>
    <row r="32" ht="46" customHeight="1">
      <c r="A32" s="12" t="inlineStr">
        <is>
          <t>II</t>
        </is>
      </c>
      <c r="B32" s="12" t="inlineStr">
        <is>
          <t>II.27</t>
        </is>
      </c>
      <c r="C32" s="12" t="inlineStr">
        <is>
          <t>Amount payable / overpayment</t>
        </is>
      </c>
      <c r="D32" s="12" t="inlineStr">
        <is>
          <t>Calculated</t>
        </is>
      </c>
      <c r="E32" s="12" t="inlineStr">
        <is>
          <t>II.25 - II.26</t>
        </is>
      </c>
      <c r="F32" s="12" t="inlineStr">
        <is>
          <t>Preserve sign</t>
        </is>
      </c>
      <c r="G32" s="12" t="inlineStr">
        <is>
          <t>Person A / B</t>
        </is>
      </c>
      <c r="H32" s="12" t="inlineStr">
        <is>
          <t>Specified</t>
        </is>
      </c>
    </row>
    <row r="33" ht="46" customHeight="1">
      <c r="A33" s="15" t="inlineStr">
        <is>
          <t>II</t>
        </is>
      </c>
      <c r="B33" s="15" t="inlineStr">
        <is>
          <t>II.28A</t>
        </is>
      </c>
      <c r="C33" s="15" t="inlineStr">
        <is>
          <t>Surcharge</t>
        </is>
      </c>
      <c r="D33" s="15" t="inlineStr">
        <is>
          <t>Manual review</t>
        </is>
      </c>
      <c r="E33" s="15" t="inlineStr">
        <is>
          <t>Penalty assessment</t>
        </is>
      </c>
      <c r="F33" s="15" t="inlineStr">
        <is>
          <t>Per person</t>
        </is>
      </c>
      <c r="G33" s="15" t="inlineStr">
        <is>
          <t>Person A / B</t>
        </is>
      </c>
      <c r="H33" s="15" t="inlineStr">
        <is>
          <t>Specified</t>
        </is>
      </c>
    </row>
    <row r="34" ht="46" customHeight="1">
      <c r="A34" s="12" t="inlineStr">
        <is>
          <t>II</t>
        </is>
      </c>
      <c r="B34" s="12" t="inlineStr">
        <is>
          <t>II.28B</t>
        </is>
      </c>
      <c r="C34" s="12" t="inlineStr">
        <is>
          <t>Interest</t>
        </is>
      </c>
      <c r="D34" s="12" t="inlineStr">
        <is>
          <t>Manual review</t>
        </is>
      </c>
      <c r="E34" s="12" t="inlineStr">
        <is>
          <t>Penalty assessment</t>
        </is>
      </c>
      <c r="F34" s="12" t="inlineStr">
        <is>
          <t>Per person</t>
        </is>
      </c>
      <c r="G34" s="12" t="inlineStr">
        <is>
          <t>Person A / B</t>
        </is>
      </c>
      <c r="H34" s="12" t="inlineStr">
        <is>
          <t>Specified</t>
        </is>
      </c>
    </row>
    <row r="35" ht="46" customHeight="1">
      <c r="A35" s="15" t="inlineStr">
        <is>
          <t>II</t>
        </is>
      </c>
      <c r="B35" s="15" t="inlineStr">
        <is>
          <t>II.28C</t>
        </is>
      </c>
      <c r="C35" s="15" t="inlineStr">
        <is>
          <t>Compromise</t>
        </is>
      </c>
      <c r="D35" s="15" t="inlineStr">
        <is>
          <t>Manual review</t>
        </is>
      </c>
      <c r="E35" s="15" t="inlineStr">
        <is>
          <t>Penalty assessment</t>
        </is>
      </c>
      <c r="F35" s="15" t="inlineStr">
        <is>
          <t>Per person</t>
        </is>
      </c>
      <c r="G35" s="15" t="inlineStr">
        <is>
          <t>Person A / B</t>
        </is>
      </c>
      <c r="H35" s="15" t="inlineStr">
        <is>
          <t>Specified</t>
        </is>
      </c>
    </row>
    <row r="36" ht="46" customHeight="1">
      <c r="A36" s="12" t="inlineStr">
        <is>
          <t>II</t>
        </is>
      </c>
      <c r="B36" s="12" t="inlineStr">
        <is>
          <t>II.28D</t>
        </is>
      </c>
      <c r="C36" s="12" t="inlineStr">
        <is>
          <t>Total penalties</t>
        </is>
      </c>
      <c r="D36" s="12" t="inlineStr">
        <is>
          <t>Calculated</t>
        </is>
      </c>
      <c r="E36" s="12" t="inlineStr">
        <is>
          <t>II.28A + II.28B + II.28C</t>
        </is>
      </c>
      <c r="F36" s="12" t="inlineStr">
        <is>
          <t>Per person</t>
        </is>
      </c>
      <c r="G36" s="12" t="inlineStr">
        <is>
          <t>Person A / B</t>
        </is>
      </c>
      <c r="H36" s="12" t="inlineStr">
        <is>
          <t>Specified</t>
        </is>
      </c>
    </row>
    <row r="37" ht="46" customHeight="1">
      <c r="A37" s="15" t="inlineStr">
        <is>
          <t>II</t>
        </is>
      </c>
      <c r="B37" s="15" t="inlineStr">
        <is>
          <t>II.29</t>
        </is>
      </c>
      <c r="C37" s="15" t="inlineStr">
        <is>
          <t>Total amount payable / overpayment</t>
        </is>
      </c>
      <c r="D37" s="15" t="inlineStr">
        <is>
          <t>Calculated</t>
        </is>
      </c>
      <c r="E37" s="15" t="inlineStr">
        <is>
          <t>II.27 + II.28D</t>
        </is>
      </c>
      <c r="F37" s="15" t="inlineStr">
        <is>
          <t>Per person</t>
        </is>
      </c>
      <c r="G37" s="15" t="inlineStr">
        <is>
          <t>Person A / B</t>
        </is>
      </c>
      <c r="H37" s="15" t="inlineStr">
        <is>
          <t>Specified</t>
        </is>
      </c>
    </row>
    <row r="38" ht="46" customHeight="1">
      <c r="A38" s="12" t="inlineStr">
        <is>
          <t>II</t>
        </is>
      </c>
      <c r="B38" s="12" t="inlineStr">
        <is>
          <t>II.30</t>
        </is>
      </c>
      <c r="C38" s="12" t="inlineStr">
        <is>
          <t>Aggregate amount payable / overpayment</t>
        </is>
      </c>
      <c r="D38" s="12" t="inlineStr">
        <is>
          <t>Calculated</t>
        </is>
      </c>
      <c r="E38" s="12" t="inlineStr">
        <is>
          <t>II.29 taxpayer + II.29 spouse</t>
        </is>
      </c>
      <c r="F38" s="12" t="inlineStr">
        <is>
          <t>Combine only when filing jointly</t>
        </is>
      </c>
      <c r="G38" s="12" t="inlineStr">
        <is>
          <t>Return</t>
        </is>
      </c>
      <c r="H38" s="12" t="inlineStr">
        <is>
          <t>Specified</t>
        </is>
      </c>
    </row>
    <row r="39" ht="46" customHeight="1">
      <c r="A39" s="15" t="inlineStr">
        <is>
          <t>II</t>
        </is>
      </c>
      <c r="B39" s="15" t="inlineStr">
        <is>
          <t>II.31</t>
        </is>
      </c>
      <c r="C39" s="15" t="inlineStr">
        <is>
          <t>Overpayment options and amounts</t>
        </is>
      </c>
      <c r="D39" s="15" t="inlineStr">
        <is>
          <t>Filing election</t>
        </is>
      </c>
      <c r="E39" s="15" t="inlineStr">
        <is>
          <t>Refund / TCC / carryover choices</t>
        </is>
      </c>
      <c r="F39" s="15" t="inlineStr">
        <is>
          <t>Follow form limitations and irrevocability</t>
        </is>
      </c>
      <c r="G39" s="15" t="inlineStr">
        <is>
          <t>Person A / B</t>
        </is>
      </c>
      <c r="H39" s="15" t="inlineStr">
        <is>
          <t>Specified</t>
        </is>
      </c>
    </row>
    <row r="40" ht="46" customHeight="1">
      <c r="A40" s="12" t="inlineStr">
        <is>
          <t>II</t>
        </is>
      </c>
      <c r="B40" s="12" t="inlineStr">
        <is>
          <t>II.32</t>
        </is>
      </c>
      <c r="C40" s="12" t="inlineStr">
        <is>
          <t>Declaration / agreement</t>
        </is>
      </c>
      <c r="D40" s="12" t="inlineStr">
        <is>
          <t>Human</t>
        </is>
      </c>
      <c r="E40" s="12" t="inlineStr">
        <is>
          <t>Taxpayer consent</t>
        </is>
      </c>
      <c r="F40" s="12" t="inlineStr">
        <is>
          <t>Do not auto-sign</t>
        </is>
      </c>
      <c r="G40" s="12" t="inlineStr">
        <is>
          <t>Return</t>
        </is>
      </c>
      <c r="H40" s="12" t="inlineStr">
        <is>
          <t>Specified</t>
        </is>
      </c>
    </row>
    <row r="41" ht="46" customHeight="1">
      <c r="A41" s="15" t="inlineStr">
        <is>
          <t>II</t>
        </is>
      </c>
      <c r="B41" s="15" t="inlineStr">
        <is>
          <t>II.33 (name, signature; unnumbered in schema)</t>
        </is>
      </c>
      <c r="C41" s="15" t="inlineStr">
        <is>
          <t>Name and signature of filer / representative</t>
        </is>
      </c>
      <c r="D41" s="15" t="inlineStr">
        <is>
          <t>Human</t>
        </is>
      </c>
      <c r="E41" s="15" t="inlineStr">
        <is>
          <t>Authorized signer</t>
        </is>
      </c>
      <c r="F41" s="15" t="str"/>
      <c r="G41" s="15" t="inlineStr">
        <is>
          <t>Return</t>
        </is>
      </c>
      <c r="H41" s="15" t="inlineStr">
        <is>
          <t>Specified</t>
        </is>
      </c>
    </row>
    <row r="42" ht="46" customHeight="1">
      <c r="A42" s="12" t="inlineStr">
        <is>
          <t>II</t>
        </is>
      </c>
      <c r="B42" s="12" t="inlineStr">
        <is>
          <t>II.34</t>
        </is>
      </c>
      <c r="C42" s="12" t="inlineStr">
        <is>
          <t>TIN of authorized representative</t>
        </is>
      </c>
      <c r="D42" s="12" t="inlineStr">
        <is>
          <t>Profile</t>
        </is>
      </c>
      <c r="E42" s="12" t="inlineStr">
        <is>
          <t>Representative TIN</t>
        </is>
      </c>
      <c r="F42" s="12" t="inlineStr">
        <is>
          <t>Only when applicable No key exists for II.34 (TIN of authorized representative) in the pinned schema (verify s2 #14).</t>
        </is>
      </c>
      <c r="G42" s="12" t="inlineStr">
        <is>
          <t>Return</t>
        </is>
      </c>
      <c r="H42" s="12" t="inlineStr">
        <is>
          <t>Specified</t>
        </is>
      </c>
    </row>
    <row r="43" ht="46" customHeight="1">
      <c r="A43" s="15" t="inlineStr">
        <is>
          <t>II</t>
        </is>
      </c>
      <c r="B43" s="15" t="inlineStr">
        <is>
          <t>II.33</t>
        </is>
      </c>
      <c r="C43" s="15" t="inlineStr">
        <is>
          <t>Number of attachments (schema: 'Page 1 Item 33 Number Of Attachments', constant) (correction 32)</t>
        </is>
      </c>
      <c r="D43" s="15" t="inlineStr">
        <is>
          <t>Filing</t>
        </is>
      </c>
      <c r="E43" s="15" t="inlineStr">
        <is>
          <t>Attachment records</t>
        </is>
      </c>
      <c r="F43" s="15" t="str"/>
      <c r="G43" s="15" t="inlineStr">
        <is>
          <t>Return</t>
        </is>
      </c>
      <c r="H43" s="15" t="inlineStr">
        <is>
          <t>Specified</t>
        </is>
      </c>
    </row>
    <row r="44" ht="46" customHeight="1">
      <c r="A44" s="12" t="inlineStr">
        <is>
          <t>III</t>
        </is>
      </c>
      <c r="B44" s="12" t="inlineStr">
        <is>
          <t>III.36.bank</t>
        </is>
      </c>
      <c r="C44" s="12" t="inlineStr">
        <is>
          <t>Cash / bank debit: Drawee bank / agency</t>
        </is>
      </c>
      <c r="D44" s="12" t="inlineStr">
        <is>
          <t>Payment</t>
        </is>
      </c>
      <c r="E44" s="12" t="inlineStr">
        <is>
          <t>Payment evidence</t>
        </is>
      </c>
      <c r="F44" s="12" t="inlineStr">
        <is>
          <t>Record if method 36 is used</t>
        </is>
      </c>
      <c r="G44" s="12" t="inlineStr">
        <is>
          <t>Payment row</t>
        </is>
      </c>
      <c r="H44" s="12" t="inlineStr">
        <is>
          <t>Specified</t>
        </is>
      </c>
    </row>
    <row r="45" ht="46" customHeight="1">
      <c r="A45" s="15" t="inlineStr">
        <is>
          <t>III</t>
        </is>
      </c>
      <c r="B45" s="15" t="inlineStr">
        <is>
          <t>III.36.number</t>
        </is>
      </c>
      <c r="C45" s="15" t="inlineStr">
        <is>
          <t>Cash / bank debit: Reference number</t>
        </is>
      </c>
      <c r="D45" s="15" t="inlineStr">
        <is>
          <t>Payment</t>
        </is>
      </c>
      <c r="E45" s="15" t="inlineStr">
        <is>
          <t>Payment evidence</t>
        </is>
      </c>
      <c r="F45" s="15" t="inlineStr">
        <is>
          <t>Record if method 36 is used</t>
        </is>
      </c>
      <c r="G45" s="15" t="inlineStr">
        <is>
          <t>Payment row</t>
        </is>
      </c>
      <c r="H45" s="15" t="inlineStr">
        <is>
          <t>Specified</t>
        </is>
      </c>
    </row>
    <row r="46" ht="46" customHeight="1">
      <c r="A46" s="12" t="inlineStr">
        <is>
          <t>III</t>
        </is>
      </c>
      <c r="B46" s="12" t="inlineStr">
        <is>
          <t>III.36.date</t>
        </is>
      </c>
      <c r="C46" s="12" t="inlineStr">
        <is>
          <t>Cash / bank debit: Payment date</t>
        </is>
      </c>
      <c r="D46" s="12" t="inlineStr">
        <is>
          <t>Payment</t>
        </is>
      </c>
      <c r="E46" s="12" t="inlineStr">
        <is>
          <t>Payment evidence</t>
        </is>
      </c>
      <c r="F46" s="12" t="inlineStr">
        <is>
          <t>Record if method 36 is used</t>
        </is>
      </c>
      <c r="G46" s="12" t="inlineStr">
        <is>
          <t>Payment row</t>
        </is>
      </c>
      <c r="H46" s="12" t="inlineStr">
        <is>
          <t>Specified</t>
        </is>
      </c>
    </row>
    <row r="47" ht="46" customHeight="1">
      <c r="A47" s="15" t="inlineStr">
        <is>
          <t>III</t>
        </is>
      </c>
      <c r="B47" s="15" t="inlineStr">
        <is>
          <t>III.36.amount</t>
        </is>
      </c>
      <c r="C47" s="15" t="inlineStr">
        <is>
          <t>Cash / bank debit: Amount</t>
        </is>
      </c>
      <c r="D47" s="15" t="inlineStr">
        <is>
          <t>Payment</t>
        </is>
      </c>
      <c r="E47" s="15" t="inlineStr">
        <is>
          <t>Payment evidence</t>
        </is>
      </c>
      <c r="F47" s="15" t="inlineStr">
        <is>
          <t>Record if method 36 is used</t>
        </is>
      </c>
      <c r="G47" s="15" t="inlineStr">
        <is>
          <t>Payment row</t>
        </is>
      </c>
      <c r="H47" s="15" t="inlineStr">
        <is>
          <t>Specified</t>
        </is>
      </c>
    </row>
    <row r="48" ht="46" customHeight="1">
      <c r="A48" s="12" t="inlineStr">
        <is>
          <t>III</t>
        </is>
      </c>
      <c r="B48" s="12" t="inlineStr">
        <is>
          <t>III.37.bank</t>
        </is>
      </c>
      <c r="C48" s="12" t="inlineStr">
        <is>
          <t>Check: Drawee bank / agency</t>
        </is>
      </c>
      <c r="D48" s="12" t="inlineStr">
        <is>
          <t>Payment</t>
        </is>
      </c>
      <c r="E48" s="12" t="inlineStr">
        <is>
          <t>Payment evidence</t>
        </is>
      </c>
      <c r="F48" s="12" t="inlineStr">
        <is>
          <t>Record if method 37 is used</t>
        </is>
      </c>
      <c r="G48" s="12" t="inlineStr">
        <is>
          <t>Payment row</t>
        </is>
      </c>
      <c r="H48" s="12" t="inlineStr">
        <is>
          <t>Specified</t>
        </is>
      </c>
    </row>
    <row r="49" ht="46" customHeight="1">
      <c r="A49" s="15" t="inlineStr">
        <is>
          <t>III</t>
        </is>
      </c>
      <c r="B49" s="15" t="inlineStr">
        <is>
          <t>III.37.number</t>
        </is>
      </c>
      <c r="C49" s="15" t="inlineStr">
        <is>
          <t>Check: Reference number</t>
        </is>
      </c>
      <c r="D49" s="15" t="inlineStr">
        <is>
          <t>Payment</t>
        </is>
      </c>
      <c r="E49" s="15" t="inlineStr">
        <is>
          <t>Payment evidence</t>
        </is>
      </c>
      <c r="F49" s="15" t="inlineStr">
        <is>
          <t>Record if method 37 is used</t>
        </is>
      </c>
      <c r="G49" s="15" t="inlineStr">
        <is>
          <t>Payment row</t>
        </is>
      </c>
      <c r="H49" s="15" t="inlineStr">
        <is>
          <t>Specified</t>
        </is>
      </c>
    </row>
    <row r="50" ht="46" customHeight="1">
      <c r="A50" s="12" t="inlineStr">
        <is>
          <t>III</t>
        </is>
      </c>
      <c r="B50" s="12" t="inlineStr">
        <is>
          <t>III.37.date</t>
        </is>
      </c>
      <c r="C50" s="12" t="inlineStr">
        <is>
          <t>Check: Payment date</t>
        </is>
      </c>
      <c r="D50" s="12" t="inlineStr">
        <is>
          <t>Payment</t>
        </is>
      </c>
      <c r="E50" s="12" t="inlineStr">
        <is>
          <t>Payment evidence</t>
        </is>
      </c>
      <c r="F50" s="12" t="inlineStr">
        <is>
          <t>Record if method 37 is used</t>
        </is>
      </c>
      <c r="G50" s="12" t="inlineStr">
        <is>
          <t>Payment row</t>
        </is>
      </c>
      <c r="H50" s="12" t="inlineStr">
        <is>
          <t>Specified</t>
        </is>
      </c>
    </row>
    <row r="51" ht="46" customHeight="1">
      <c r="A51" s="15" t="inlineStr">
        <is>
          <t>III</t>
        </is>
      </c>
      <c r="B51" s="15" t="inlineStr">
        <is>
          <t>III.37.amount</t>
        </is>
      </c>
      <c r="C51" s="15" t="inlineStr">
        <is>
          <t>Check: Amount</t>
        </is>
      </c>
      <c r="D51" s="15" t="inlineStr">
        <is>
          <t>Payment</t>
        </is>
      </c>
      <c r="E51" s="15" t="inlineStr">
        <is>
          <t>Payment evidence</t>
        </is>
      </c>
      <c r="F51" s="15" t="inlineStr">
        <is>
          <t>Record if method 37 is used</t>
        </is>
      </c>
      <c r="G51" s="15" t="inlineStr">
        <is>
          <t>Payment row</t>
        </is>
      </c>
      <c r="H51" s="15" t="inlineStr">
        <is>
          <t>Specified</t>
        </is>
      </c>
    </row>
    <row r="52" ht="46" customHeight="1">
      <c r="A52" s="12" t="inlineStr">
        <is>
          <t>III</t>
        </is>
      </c>
      <c r="B52" s="12" t="inlineStr">
        <is>
          <t>III.38.bank</t>
        </is>
      </c>
      <c r="C52" s="12" t="inlineStr">
        <is>
          <t>Tax debit memo: Drawee bank / agency</t>
        </is>
      </c>
      <c r="D52" s="12" t="inlineStr">
        <is>
          <t>Payment</t>
        </is>
      </c>
      <c r="E52" s="12" t="inlineStr">
        <is>
          <t>Payment evidence</t>
        </is>
      </c>
      <c r="F52" s="12" t="inlineStr">
        <is>
          <t>Record if method 38 is used No tax-debit-memo drawee key in the pinned schema (number, date and amount only). Not fillable (correction 33).</t>
        </is>
      </c>
      <c r="G52" s="12" t="inlineStr">
        <is>
          <t>Payment row</t>
        </is>
      </c>
      <c r="H52" s="12" t="inlineStr">
        <is>
          <t>Specified</t>
        </is>
      </c>
    </row>
    <row r="53" ht="46" customHeight="1">
      <c r="A53" s="15" t="inlineStr">
        <is>
          <t>III</t>
        </is>
      </c>
      <c r="B53" s="15" t="inlineStr">
        <is>
          <t>III.38.number</t>
        </is>
      </c>
      <c r="C53" s="15" t="inlineStr">
        <is>
          <t>Tax debit memo: Reference number</t>
        </is>
      </c>
      <c r="D53" s="15" t="inlineStr">
        <is>
          <t>Payment</t>
        </is>
      </c>
      <c r="E53" s="15" t="inlineStr">
        <is>
          <t>Payment evidence</t>
        </is>
      </c>
      <c r="F53" s="15" t="inlineStr">
        <is>
          <t>Record if method 38 is used</t>
        </is>
      </c>
      <c r="G53" s="15" t="inlineStr">
        <is>
          <t>Payment row</t>
        </is>
      </c>
      <c r="H53" s="15" t="inlineStr">
        <is>
          <t>Specified</t>
        </is>
      </c>
    </row>
    <row r="54" ht="46" customHeight="1">
      <c r="A54" s="12" t="inlineStr">
        <is>
          <t>III</t>
        </is>
      </c>
      <c r="B54" s="12" t="inlineStr">
        <is>
          <t>III.38.date</t>
        </is>
      </c>
      <c r="C54" s="12" t="inlineStr">
        <is>
          <t>Tax debit memo: Payment date</t>
        </is>
      </c>
      <c r="D54" s="12" t="inlineStr">
        <is>
          <t>Payment</t>
        </is>
      </c>
      <c r="E54" s="12" t="inlineStr">
        <is>
          <t>Payment evidence</t>
        </is>
      </c>
      <c r="F54" s="12" t="inlineStr">
        <is>
          <t>Record if method 38 is used</t>
        </is>
      </c>
      <c r="G54" s="12" t="inlineStr">
        <is>
          <t>Payment row</t>
        </is>
      </c>
      <c r="H54" s="12" t="inlineStr">
        <is>
          <t>Specified</t>
        </is>
      </c>
    </row>
    <row r="55" ht="46" customHeight="1">
      <c r="A55" s="15" t="inlineStr">
        <is>
          <t>III</t>
        </is>
      </c>
      <c r="B55" s="15" t="inlineStr">
        <is>
          <t>III.38.amount</t>
        </is>
      </c>
      <c r="C55" s="15" t="inlineStr">
        <is>
          <t>Tax debit memo: Amount</t>
        </is>
      </c>
      <c r="D55" s="15" t="inlineStr">
        <is>
          <t>Payment</t>
        </is>
      </c>
      <c r="E55" s="15" t="inlineStr">
        <is>
          <t>Payment evidence</t>
        </is>
      </c>
      <c r="F55" s="15" t="inlineStr">
        <is>
          <t>Record if method 38 is used</t>
        </is>
      </c>
      <c r="G55" s="15" t="inlineStr">
        <is>
          <t>Payment row</t>
        </is>
      </c>
      <c r="H55" s="15" t="inlineStr">
        <is>
          <t>Specified</t>
        </is>
      </c>
    </row>
    <row r="56" ht="46" customHeight="1">
      <c r="A56" s="12" t="inlineStr">
        <is>
          <t>III</t>
        </is>
      </c>
      <c r="B56" s="12" t="inlineStr">
        <is>
          <t>III.39.bank</t>
        </is>
      </c>
      <c r="C56" s="12" t="inlineStr">
        <is>
          <t>Other payment: Drawee bank / agency</t>
        </is>
      </c>
      <c r="D56" s="12" t="inlineStr">
        <is>
          <t>Payment</t>
        </is>
      </c>
      <c r="E56" s="12" t="inlineStr">
        <is>
          <t>Payment evidence</t>
        </is>
      </c>
      <c r="F56" s="12" t="inlineStr">
        <is>
          <t>Record if method 39 is used</t>
        </is>
      </c>
      <c r="G56" s="12" t="inlineStr">
        <is>
          <t>Payment row</t>
        </is>
      </c>
      <c r="H56" s="12" t="inlineStr">
        <is>
          <t>Specified</t>
        </is>
      </c>
    </row>
    <row r="57" ht="46" customHeight="1">
      <c r="A57" s="15" t="inlineStr">
        <is>
          <t>III</t>
        </is>
      </c>
      <c r="B57" s="15" t="inlineStr">
        <is>
          <t>III.39.number</t>
        </is>
      </c>
      <c r="C57" s="15" t="inlineStr">
        <is>
          <t>Other payment: Reference number</t>
        </is>
      </c>
      <c r="D57" s="15" t="inlineStr">
        <is>
          <t>Payment</t>
        </is>
      </c>
      <c r="E57" s="15" t="inlineStr">
        <is>
          <t>Payment evidence</t>
        </is>
      </c>
      <c r="F57" s="15" t="inlineStr">
        <is>
          <t>Record if method 39 is used</t>
        </is>
      </c>
      <c r="G57" s="15" t="inlineStr">
        <is>
          <t>Payment row</t>
        </is>
      </c>
      <c r="H57" s="15" t="inlineStr">
        <is>
          <t>Specified</t>
        </is>
      </c>
    </row>
    <row r="58" ht="46" customHeight="1">
      <c r="A58" s="12" t="inlineStr">
        <is>
          <t>III</t>
        </is>
      </c>
      <c r="B58" s="12" t="inlineStr">
        <is>
          <t>III.39.date</t>
        </is>
      </c>
      <c r="C58" s="12" t="inlineStr">
        <is>
          <t>Other payment: Payment date</t>
        </is>
      </c>
      <c r="D58" s="12" t="inlineStr">
        <is>
          <t>Payment</t>
        </is>
      </c>
      <c r="E58" s="12" t="inlineStr">
        <is>
          <t>Payment evidence</t>
        </is>
      </c>
      <c r="F58" s="12" t="inlineStr">
        <is>
          <t>Record if method 39 is used</t>
        </is>
      </c>
      <c r="G58" s="12" t="inlineStr">
        <is>
          <t>Payment row</t>
        </is>
      </c>
      <c r="H58" s="12" t="inlineStr">
        <is>
          <t>Specified</t>
        </is>
      </c>
    </row>
    <row r="59" ht="46" customHeight="1">
      <c r="A59" s="15" t="inlineStr">
        <is>
          <t>III</t>
        </is>
      </c>
      <c r="B59" s="15" t="inlineStr">
        <is>
          <t>III.39.amount</t>
        </is>
      </c>
      <c r="C59" s="15" t="inlineStr">
        <is>
          <t>Other payment: Amount</t>
        </is>
      </c>
      <c r="D59" s="15" t="inlineStr">
        <is>
          <t>Payment</t>
        </is>
      </c>
      <c r="E59" s="15" t="inlineStr">
        <is>
          <t>Payment evidence</t>
        </is>
      </c>
      <c r="F59" s="15" t="inlineStr">
        <is>
          <t>Record if method 39 is used</t>
        </is>
      </c>
      <c r="G59" s="15" t="inlineStr">
        <is>
          <t>Payment row</t>
        </is>
      </c>
      <c r="H59" s="15" t="inlineStr">
        <is>
          <t>Specified</t>
        </is>
      </c>
    </row>
    <row r="60" ht="46" customHeight="1">
      <c r="A60" s="12" t="inlineStr">
        <is>
          <t>Payment receipt</t>
        </is>
      </c>
      <c r="B60" s="12" t="inlineStr">
        <is>
          <t>RECEIPT</t>
        </is>
      </c>
      <c r="C60" s="12" t="inlineStr">
        <is>
          <t>Validation / official receipt / stamp</t>
        </is>
      </c>
      <c r="D60" s="12" t="inlineStr">
        <is>
          <t>Evidence</t>
        </is>
      </c>
      <c r="E60" s="12" t="inlineStr">
        <is>
          <t>Filing confirmation</t>
        </is>
      </c>
      <c r="F60" s="12" t="inlineStr">
        <is>
          <t>BIR / bank completion</t>
        </is>
      </c>
      <c r="G60" s="12" t="inlineStr">
        <is>
          <t>Return</t>
        </is>
      </c>
      <c r="H60" s="12" t="inlineStr">
        <is>
          <t>Specified</t>
        </is>
      </c>
    </row>
    <row r="61" ht="46" customHeight="1">
      <c r="A61" s="15" t="inlineStr">
        <is>
          <t>IV</t>
        </is>
      </c>
      <c r="B61" s="15" t="inlineStr">
        <is>
          <t>IV.1</t>
        </is>
      </c>
      <c r="C61" s="15" t="inlineStr">
        <is>
          <t>Gross compensation income</t>
        </is>
      </c>
      <c r="D61" s="15" t="inlineStr">
        <is>
          <t>Owner 2316</t>
        </is>
      </c>
      <c r="E61" s="15" t="inlineStr">
        <is>
          <t>Own employers’ 2316 / income statements</t>
        </is>
      </c>
      <c r="F61" s="15" t="inlineStr">
        <is>
          <t>Not the business employer’s payroll</t>
        </is>
      </c>
      <c r="G61" s="15" t="inlineStr">
        <is>
          <t>Person A / B</t>
        </is>
      </c>
      <c r="H61" s="15" t="inlineStr">
        <is>
          <t>Specified</t>
        </is>
      </c>
    </row>
    <row r="62" ht="46" customHeight="1">
      <c r="A62" s="12" t="inlineStr">
        <is>
          <t>IV</t>
        </is>
      </c>
      <c r="B62" s="12" t="inlineStr">
        <is>
          <t>IV.2</t>
        </is>
      </c>
      <c r="C62" s="12" t="inlineStr">
        <is>
          <t>Non-taxable / exempt compensation</t>
        </is>
      </c>
      <c r="D62" s="12" t="inlineStr">
        <is>
          <t>Owner 2316</t>
        </is>
      </c>
      <c r="E62" s="12" t="inlineStr">
        <is>
          <t>Own 2316 non-taxable portion</t>
        </is>
      </c>
      <c r="F62" s="12" t="inlineStr">
        <is>
          <t>Not amounts paid to business employees</t>
        </is>
      </c>
      <c r="G62" s="12" t="inlineStr">
        <is>
          <t>Person A / B</t>
        </is>
      </c>
      <c r="H62" s="12" t="inlineStr">
        <is>
          <t>Specified</t>
        </is>
      </c>
    </row>
    <row r="63" ht="46" customHeight="1">
      <c r="A63" s="15" t="inlineStr">
        <is>
          <t>IV</t>
        </is>
      </c>
      <c r="B63" s="15" t="inlineStr">
        <is>
          <t>IV.3</t>
        </is>
      </c>
      <c r="C63" s="15" t="inlineStr">
        <is>
          <t>Taxable compensation</t>
        </is>
      </c>
      <c r="D63" s="15" t="inlineStr">
        <is>
          <t>Calculated</t>
        </is>
      </c>
      <c r="E63" s="15" t="inlineStr">
        <is>
          <t>IV.1 - IV.2</t>
        </is>
      </c>
      <c r="F63" s="15" t="inlineStr">
        <is>
          <t>Per person</t>
        </is>
      </c>
      <c r="G63" s="15" t="inlineStr">
        <is>
          <t>Person A / B</t>
        </is>
      </c>
      <c r="H63" s="15" t="inlineStr">
        <is>
          <t>Specified</t>
        </is>
      </c>
    </row>
    <row r="64" ht="46" customHeight="1">
      <c r="A64" s="12" t="inlineStr">
        <is>
          <t>IV</t>
        </is>
      </c>
      <c r="B64" s="12" t="inlineStr">
        <is>
          <t>IV.4</t>
        </is>
      </c>
      <c r="C64" s="12" t="inlineStr">
        <is>
          <t>Tax due on compensation</t>
        </is>
      </c>
      <c r="D64" s="12" t="inlineStr">
        <is>
          <t>Calculated</t>
        </is>
      </c>
      <c r="E64" s="12" t="inlineStr">
        <is>
          <t>Graduated tax schedule on IV.3</t>
        </is>
      </c>
      <c r="F64" s="12" t="inlineStr">
        <is>
          <t>Apply the progressive schedule, not one flat rate</t>
        </is>
      </c>
      <c r="G64" s="12" t="inlineStr">
        <is>
          <t>Person A / B</t>
        </is>
      </c>
      <c r="H64" s="12" t="inlineStr">
        <is>
          <t>Specified</t>
        </is>
      </c>
    </row>
    <row r="65" ht="46" customHeight="1">
      <c r="A65" s="15" t="inlineStr">
        <is>
          <t>IV</t>
        </is>
      </c>
      <c r="B65" s="15" t="inlineStr">
        <is>
          <t>IV.5</t>
        </is>
      </c>
      <c r="C65" s="15" t="inlineStr">
        <is>
          <t>Sales / revenues / fees</t>
        </is>
      </c>
      <c r="D65" s="15" t="inlineStr">
        <is>
          <t>Ledger + attributes</t>
        </is>
      </c>
      <c r="E65" s="15" t="inlineStr">
        <is>
          <t>Eligible gross business revenue; sales_revenue and related leaf accounts</t>
        </is>
      </c>
      <c r="F65" s="15" t="inlineStr">
        <is>
          <t>Exclude VAT and non-sales movements; annual</t>
        </is>
      </c>
      <c r="G65" s="15" t="inlineStr">
        <is>
          <t>Person A / B</t>
        </is>
      </c>
      <c r="H65" s="15" t="inlineStr">
        <is>
          <t>Specified</t>
        </is>
      </c>
    </row>
    <row r="66" ht="46" customHeight="1">
      <c r="A66" s="12" t="inlineStr">
        <is>
          <t>IV</t>
        </is>
      </c>
      <c r="B66" s="12" t="inlineStr">
        <is>
          <t>IV.6</t>
        </is>
      </c>
      <c r="C66" s="12" t="inlineStr">
        <is>
          <t>Sales returns, allowances and discounts</t>
        </is>
      </c>
      <c r="D66" s="12" t="inlineStr">
        <is>
          <t>Ledger + attributes</t>
        </is>
      </c>
      <c r="E66" s="12" t="inlineStr">
        <is>
          <t>refunds_and_discounts</t>
        </is>
      </c>
      <c r="F66" s="12" t="inlineStr">
        <is>
          <t>Linked to eligible sales; annual</t>
        </is>
      </c>
      <c r="G66" s="12" t="inlineStr">
        <is>
          <t>Person A / B</t>
        </is>
      </c>
      <c r="H66" s="12" t="inlineStr">
        <is>
          <t>Specified</t>
        </is>
      </c>
    </row>
    <row r="67" ht="46" customHeight="1">
      <c r="A67" s="15" t="inlineStr">
        <is>
          <t>IV</t>
        </is>
      </c>
      <c r="B67" s="15" t="inlineStr">
        <is>
          <t>IV.7</t>
        </is>
      </c>
      <c r="C67" s="15" t="inlineStr">
        <is>
          <t>Net sales / revenues / fees</t>
        </is>
      </c>
      <c r="D67" s="15" t="inlineStr">
        <is>
          <t>Calculated</t>
        </is>
      </c>
      <c r="E67" s="15" t="inlineStr">
        <is>
          <t>IV.5 - IV.6</t>
        </is>
      </c>
      <c r="F67" s="15" t="str"/>
      <c r="G67" s="15" t="inlineStr">
        <is>
          <t>Person A / B</t>
        </is>
      </c>
      <c r="H67" s="15" t="inlineStr">
        <is>
          <t>Specified</t>
        </is>
      </c>
    </row>
    <row r="68" ht="46" customHeight="1">
      <c r="A68" s="12" t="inlineStr">
        <is>
          <t>IV</t>
        </is>
      </c>
      <c r="B68" s="12" t="inlineStr">
        <is>
          <t>IV.8</t>
        </is>
      </c>
      <c r="C68" s="12" t="inlineStr">
        <is>
          <t>Cost of sales / services</t>
        </is>
      </c>
      <c r="D68" s="12" t="inlineStr">
        <is>
          <t>Ledger + tax review</t>
        </is>
      </c>
      <c r="E68" s="12" t="inlineStr">
        <is>
          <t>cost_of_goods_sold, direct service cost</t>
        </is>
      </c>
      <c r="F68" s="12" t="inlineStr">
        <is>
          <t>Itemized mode only</t>
        </is>
      </c>
      <c r="G68" s="12" t="inlineStr">
        <is>
          <t>Person A / B</t>
        </is>
      </c>
      <c r="H68" s="12" t="inlineStr">
        <is>
          <t>Specified</t>
        </is>
      </c>
    </row>
    <row r="69" ht="46" customHeight="1">
      <c r="A69" s="15" t="inlineStr">
        <is>
          <t>IV</t>
        </is>
      </c>
      <c r="B69" s="15" t="inlineStr">
        <is>
          <t>IV.9</t>
        </is>
      </c>
      <c r="C69" s="15" t="inlineStr">
        <is>
          <t>Gross income / loss from operation</t>
        </is>
      </c>
      <c r="D69" s="15" t="inlineStr">
        <is>
          <t>Calculated</t>
        </is>
      </c>
      <c r="E69" s="15" t="inlineStr">
        <is>
          <t>IV.7 - IV.8</t>
        </is>
      </c>
      <c r="F69" s="15" t="inlineStr">
        <is>
          <t>IV.8 omitted for OSD</t>
        </is>
      </c>
      <c r="G69" s="15" t="inlineStr">
        <is>
          <t>Person A / B</t>
        </is>
      </c>
      <c r="H69" s="15" t="inlineStr">
        <is>
          <t>Specified</t>
        </is>
      </c>
    </row>
    <row r="70" ht="46" customHeight="1">
      <c r="A70" s="12" t="inlineStr">
        <is>
          <t>IV</t>
        </is>
      </c>
      <c r="B70" s="12" t="inlineStr">
        <is>
          <t>IV.10A</t>
        </is>
      </c>
      <c r="C70" s="12" t="inlineStr">
        <is>
          <t>Ordinary allowable itemized deductions</t>
        </is>
      </c>
      <c r="D70" s="12" t="inlineStr">
        <is>
          <t>Ledger + tax review</t>
        </is>
      </c>
      <c r="E70" s="12" t="inlineStr">
        <is>
          <t>Eligible operating expenses and adjustments</t>
        </is>
      </c>
      <c r="F70" s="12" t="inlineStr">
        <is>
          <t>Only itemized; verify substantiation and limits</t>
        </is>
      </c>
      <c r="G70" s="12" t="inlineStr">
        <is>
          <t>Person A / B</t>
        </is>
      </c>
      <c r="H70" s="12" t="inlineStr">
        <is>
          <t>Specified</t>
        </is>
      </c>
    </row>
    <row r="71" ht="46" customHeight="1">
      <c r="A71" s="15" t="inlineStr">
        <is>
          <t>IV</t>
        </is>
      </c>
      <c r="B71" s="15" t="inlineStr">
        <is>
          <t>IV.10B</t>
        </is>
      </c>
      <c r="C71" s="15" t="inlineStr">
        <is>
          <t>Special allowable itemized deductions</t>
        </is>
      </c>
      <c r="D71" s="15" t="inlineStr">
        <is>
          <t>Tax schedule</t>
        </is>
      </c>
      <c r="E71" s="15" t="inlineStr">
        <is>
          <t>Specific eligible special deductions</t>
        </is>
      </c>
      <c r="F71" s="15" t="inlineStr">
        <is>
          <t>Only itemized and supported</t>
        </is>
      </c>
      <c r="G71" s="15" t="inlineStr">
        <is>
          <t>Person A / B</t>
        </is>
      </c>
      <c r="H71" s="15" t="inlineStr">
        <is>
          <t>Specified</t>
        </is>
      </c>
    </row>
    <row r="72" ht="46" customHeight="1">
      <c r="A72" s="12" t="inlineStr">
        <is>
          <t>IV</t>
        </is>
      </c>
      <c r="B72" s="12" t="inlineStr">
        <is>
          <t>IV.10C</t>
        </is>
      </c>
      <c r="C72" s="12" t="inlineStr">
        <is>
          <t>Net operating loss carryover</t>
        </is>
      </c>
      <c r="D72" s="12" t="inlineStr">
        <is>
          <t>Tax schedule</t>
        </is>
      </c>
      <c r="E72" s="12" t="inlineStr">
        <is>
          <t>Eligible loss vintages and utilization</t>
        </is>
      </c>
      <c r="F72" s="12" t="inlineStr">
        <is>
          <t>Eligibility and time limits</t>
        </is>
      </c>
      <c r="G72" s="12" t="inlineStr">
        <is>
          <t>Person A / B</t>
        </is>
      </c>
      <c r="H72" s="12" t="inlineStr">
        <is>
          <t>Specified</t>
        </is>
      </c>
    </row>
    <row r="73" ht="46" customHeight="1">
      <c r="A73" s="15" t="inlineStr">
        <is>
          <t>IV</t>
        </is>
      </c>
      <c r="B73" s="15" t="inlineStr">
        <is>
          <t>IV.10D</t>
        </is>
      </c>
      <c r="C73" s="15" t="inlineStr">
        <is>
          <t>Total allowable itemized deductions</t>
        </is>
      </c>
      <c r="D73" s="15" t="inlineStr">
        <is>
          <t>Calculated</t>
        </is>
      </c>
      <c r="E73" s="15" t="inlineStr">
        <is>
          <t>IV.10A + IV.10B + IV.10C</t>
        </is>
      </c>
      <c r="F73" s="15" t="inlineStr">
        <is>
          <t>Do not mix with OSD</t>
        </is>
      </c>
      <c r="G73" s="15" t="inlineStr">
        <is>
          <t>Person A / B</t>
        </is>
      </c>
      <c r="H73" s="15" t="inlineStr">
        <is>
          <t>Specified</t>
        </is>
      </c>
    </row>
    <row r="74" ht="46" customHeight="1">
      <c r="A74" s="12" t="inlineStr">
        <is>
          <t>IV</t>
        </is>
      </c>
      <c r="B74" s="12" t="inlineStr">
        <is>
          <t>IV.11</t>
        </is>
      </c>
      <c r="C74" s="12" t="inlineStr">
        <is>
          <t>Optional standard deduction</t>
        </is>
      </c>
      <c r="D74" s="12" t="inlineStr">
        <is>
          <t>Calculated</t>
        </is>
      </c>
      <c r="E74" s="12" t="inlineStr">
        <is>
          <t>40% of IV.7</t>
        </is>
      </c>
      <c r="F74" s="12" t="inlineStr">
        <is>
          <t>Only when OSD validly elected</t>
        </is>
      </c>
      <c r="G74" s="12" t="inlineStr">
        <is>
          <t>Person A / B</t>
        </is>
      </c>
      <c r="H74" s="12" t="inlineStr">
        <is>
          <t>Specified</t>
        </is>
      </c>
    </row>
    <row r="75" ht="46" customHeight="1">
      <c r="A75" s="15" t="inlineStr">
        <is>
          <t>IV</t>
        </is>
      </c>
      <c r="B75" s="15" t="inlineStr">
        <is>
          <t>IV.12</t>
        </is>
      </c>
      <c r="C75" s="15" t="inlineStr">
        <is>
          <t>Net income / loss</t>
        </is>
      </c>
      <c r="D75" s="15" t="inlineStr">
        <is>
          <t>Calculated</t>
        </is>
      </c>
      <c r="E75" s="15" t="inlineStr">
        <is>
          <t>Itemized: IV.9 - IV.10D; OSD: IV.9 - IV.11</t>
        </is>
      </c>
      <c r="F75" s="15" t="inlineStr">
        <is>
          <t>IV.8 not separately deducted with OSD</t>
        </is>
      </c>
      <c r="G75" s="15" t="inlineStr">
        <is>
          <t>Person A / B</t>
        </is>
      </c>
      <c r="H75" s="15" t="inlineStr">
        <is>
          <t>Specified</t>
        </is>
      </c>
    </row>
    <row r="76" ht="46" customHeight="1">
      <c r="A76" s="12" t="inlineStr">
        <is>
          <t>IV</t>
        </is>
      </c>
      <c r="B76" s="12" t="inlineStr">
        <is>
          <t>IV.13</t>
        </is>
      </c>
      <c r="C76" s="12" t="inlineStr">
        <is>
          <t>Other non-operating income</t>
        </is>
      </c>
      <c r="D76" s="12" t="inlineStr">
        <is>
          <t>Ledger + attributes</t>
        </is>
      </c>
      <c r="E76" s="12" t="inlineStr">
        <is>
          <t>other_non_operating_income</t>
        </is>
      </c>
      <c r="F76" s="12" t="inlineStr">
        <is>
          <t>Exclude income subject to final tax when appropriate</t>
        </is>
      </c>
      <c r="G76" s="12" t="inlineStr">
        <is>
          <t>Person A / B</t>
        </is>
      </c>
      <c r="H76" s="12" t="inlineStr">
        <is>
          <t>Specified</t>
        </is>
      </c>
    </row>
    <row r="77" ht="46" customHeight="1">
      <c r="A77" s="15" t="inlineStr">
        <is>
          <t>IV</t>
        </is>
      </c>
      <c r="B77" s="15" t="inlineStr">
        <is>
          <t>IV.14</t>
        </is>
      </c>
      <c r="C77" s="15" t="inlineStr">
        <is>
          <t>Taxable income - business</t>
        </is>
      </c>
      <c r="D77" s="15" t="inlineStr">
        <is>
          <t>Calculated</t>
        </is>
      </c>
      <c r="E77" s="15" t="inlineStr">
        <is>
          <t>IV.12 + IV.13</t>
        </is>
      </c>
      <c r="F77" s="15" t="inlineStr">
        <is>
          <t>Apply relevant rules for losses</t>
        </is>
      </c>
      <c r="G77" s="15" t="inlineStr">
        <is>
          <t>Person A / B</t>
        </is>
      </c>
      <c r="H77" s="15" t="inlineStr">
        <is>
          <t>Specified</t>
        </is>
      </c>
    </row>
    <row r="78" ht="46" customHeight="1">
      <c r="A78" s="12" t="inlineStr">
        <is>
          <t>IV</t>
        </is>
      </c>
      <c r="B78" s="12" t="inlineStr">
        <is>
          <t>IV.15</t>
        </is>
      </c>
      <c r="C78" s="12" t="inlineStr">
        <is>
          <t>Taxable compensation and business income</t>
        </is>
      </c>
      <c r="D78" s="12" t="inlineStr">
        <is>
          <t>Calculated</t>
        </is>
      </c>
      <c r="E78" s="12" t="inlineStr">
        <is>
          <t>IV.3 + IV.14</t>
        </is>
      </c>
      <c r="F78" s="12" t="inlineStr">
        <is>
          <t>Graduated pathway</t>
        </is>
      </c>
      <c r="G78" s="12" t="inlineStr">
        <is>
          <t>Person A / B</t>
        </is>
      </c>
      <c r="H78" s="12" t="inlineStr">
        <is>
          <t>Specified</t>
        </is>
      </c>
    </row>
    <row r="79" ht="46" customHeight="1">
      <c r="A79" s="15" t="inlineStr">
        <is>
          <t>IV</t>
        </is>
      </c>
      <c r="B79" s="15" t="inlineStr">
        <is>
          <t>IV.16</t>
        </is>
      </c>
      <c r="C79" s="15" t="inlineStr">
        <is>
          <t>Special / preferential rate</t>
        </is>
      </c>
      <c r="D79" s="15" t="inlineStr">
        <is>
          <t>Reference data</t>
        </is>
      </c>
      <c r="E79" s="15" t="inlineStr">
        <is>
          <t>Relief profile / rate version</t>
        </is>
      </c>
      <c r="F79" s="15" t="inlineStr">
        <is>
          <t>Only special / exempt path</t>
        </is>
      </c>
      <c r="G79" s="15" t="inlineStr">
        <is>
          <t>Person A / B</t>
        </is>
      </c>
      <c r="H79" s="15" t="inlineStr">
        <is>
          <t>Specified</t>
        </is>
      </c>
    </row>
    <row r="80" ht="46" customHeight="1">
      <c r="A80" s="12" t="inlineStr">
        <is>
          <t>IV</t>
        </is>
      </c>
      <c r="B80" s="12" t="inlineStr">
        <is>
          <t>IV.17</t>
        </is>
      </c>
      <c r="C80" s="12" t="inlineStr">
        <is>
          <t>Special / preferential / exempt tax due</t>
        </is>
      </c>
      <c r="D80" s="12" t="inlineStr">
        <is>
          <t>Manual review / calculation</t>
        </is>
      </c>
      <c r="E80" s="12" t="inlineStr">
        <is>
          <t>IV.9 or IV.14 × applicable IV.16 per form</t>
        </is>
      </c>
      <c r="F80" s="12" t="inlineStr">
        <is>
          <t>Read precise law and form instructions</t>
        </is>
      </c>
      <c r="G80" s="12" t="inlineStr">
        <is>
          <t>Person A / B</t>
        </is>
      </c>
      <c r="H80" s="12" t="inlineStr">
        <is>
          <t>Specified</t>
        </is>
      </c>
    </row>
    <row r="81" ht="46" customHeight="1">
      <c r="A81" s="15" t="inlineStr">
        <is>
          <t>IV</t>
        </is>
      </c>
      <c r="B81" s="15" t="inlineStr">
        <is>
          <t>IV.18A</t>
        </is>
      </c>
      <c r="C81" s="15" t="inlineStr">
        <is>
          <t>Total special / exempt + compensation tax</t>
        </is>
      </c>
      <c r="D81" s="15" t="inlineStr">
        <is>
          <t>Calculated</t>
        </is>
      </c>
      <c r="E81" s="15" t="inlineStr">
        <is>
          <t>IV.4 + IV.17</t>
        </is>
      </c>
      <c r="F81" s="15" t="inlineStr">
        <is>
          <t>Feeds II.19</t>
        </is>
      </c>
      <c r="G81" s="15" t="inlineStr">
        <is>
          <t>Person A / B</t>
        </is>
      </c>
      <c r="H81" s="15" t="inlineStr">
        <is>
          <t>Specified</t>
        </is>
      </c>
    </row>
    <row r="82" ht="46" customHeight="1">
      <c r="A82" s="12" t="inlineStr">
        <is>
          <t>IV</t>
        </is>
      </c>
      <c r="B82" s="12" t="inlineStr">
        <is>
          <t>IV.18B</t>
        </is>
      </c>
      <c r="C82" s="12" t="inlineStr">
        <is>
          <t>Total tax due under graduated rates</t>
        </is>
      </c>
      <c r="D82" s="12" t="inlineStr">
        <is>
          <t>Calculated</t>
        </is>
      </c>
      <c r="E82" s="12" t="inlineStr">
        <is>
          <t>Graduated schedule applied to IV.15</t>
        </is>
      </c>
      <c r="F82" s="12" t="inlineStr">
        <is>
          <t>Feeds II.22; progressive brackets</t>
        </is>
      </c>
      <c r="G82" s="12" t="inlineStr">
        <is>
          <t>Person A / B</t>
        </is>
      </c>
      <c r="H82" s="12" t="inlineStr">
        <is>
          <t>Specified</t>
        </is>
      </c>
    </row>
    <row r="83" ht="46" customHeight="1">
      <c r="A83" s="15" t="inlineStr">
        <is>
          <t>IV</t>
        </is>
      </c>
      <c r="B83" s="15" t="inlineStr">
        <is>
          <t>IV.19</t>
        </is>
      </c>
      <c r="C83" s="15" t="inlineStr">
        <is>
          <t>8%: net sales / revenues / fees</t>
        </is>
      </c>
      <c r="D83" s="15" t="inlineStr">
        <is>
          <t>Ledger + attributes</t>
        </is>
      </c>
      <c r="E83" s="15" t="inlineStr">
        <is>
          <t>Eligible sales minus returns</t>
        </is>
      </c>
      <c r="F83" s="15" t="inlineStr">
        <is>
          <t>8% pathway only</t>
        </is>
      </c>
      <c r="G83" s="15" t="inlineStr">
        <is>
          <t>Person A / B</t>
        </is>
      </c>
      <c r="H83" s="15" t="inlineStr">
        <is>
          <t>Specified</t>
        </is>
      </c>
    </row>
    <row r="84" ht="46" customHeight="1">
      <c r="A84" s="12" t="inlineStr">
        <is>
          <t>IV</t>
        </is>
      </c>
      <c r="B84" s="12" t="inlineStr">
        <is>
          <t>IV.20</t>
        </is>
      </c>
      <c r="C84" s="12" t="inlineStr">
        <is>
          <t>8%: other non-operating income</t>
        </is>
      </c>
      <c r="D84" s="12" t="inlineStr">
        <is>
          <t>Ledger + attributes</t>
        </is>
      </c>
      <c r="E84" s="12" t="inlineStr">
        <is>
          <t>Eligible other non-operating income</t>
        </is>
      </c>
      <c r="F84" s="12" t="inlineStr">
        <is>
          <t>8% pathway only</t>
        </is>
      </c>
      <c r="G84" s="12" t="inlineStr">
        <is>
          <t>Person A / B</t>
        </is>
      </c>
      <c r="H84" s="12" t="inlineStr">
        <is>
          <t>Specified</t>
        </is>
      </c>
    </row>
    <row r="85" ht="46" customHeight="1">
      <c r="A85" s="15" t="inlineStr">
        <is>
          <t>IV</t>
        </is>
      </c>
      <c r="B85" s="15" t="inlineStr">
        <is>
          <t>IV.21</t>
        </is>
      </c>
      <c r="C85" s="15" t="inlineStr">
        <is>
          <t>8%: total income</t>
        </is>
      </c>
      <c r="D85" s="15" t="inlineStr">
        <is>
          <t>Calculated</t>
        </is>
      </c>
      <c r="E85" s="15" t="inlineStr">
        <is>
          <t>IV.19 + IV.20</t>
        </is>
      </c>
      <c r="F85" s="15" t="str"/>
      <c r="G85" s="15" t="inlineStr">
        <is>
          <t>Person A / B</t>
        </is>
      </c>
      <c r="H85" s="15" t="inlineStr">
        <is>
          <t>Specified</t>
        </is>
      </c>
    </row>
    <row r="86" ht="46" customHeight="1">
      <c r="A86" s="12" t="inlineStr">
        <is>
          <t>IV</t>
        </is>
      </c>
      <c r="B86" s="12" t="inlineStr">
        <is>
          <t>IV.22</t>
        </is>
      </c>
      <c r="C86" s="12" t="inlineStr">
        <is>
          <t>8%: pure-business reduction</t>
        </is>
      </c>
      <c r="D86" s="12" t="inlineStr">
        <is>
          <t>Election / calculation</t>
        </is>
      </c>
      <c r="E86" s="12" t="inlineStr">
        <is>
          <t>250000 if eligible and purely self-employed</t>
        </is>
      </c>
      <c r="F86" s="12" t="inlineStr">
        <is>
          <t>No reduction on mixed-income 8% component</t>
        </is>
      </c>
      <c r="G86" s="12" t="inlineStr">
        <is>
          <t>Person A / B</t>
        </is>
      </c>
      <c r="H86" s="12" t="inlineStr">
        <is>
          <t>Specified</t>
        </is>
      </c>
    </row>
    <row r="87" ht="46" customHeight="1">
      <c r="A87" s="15" t="inlineStr">
        <is>
          <t>IV</t>
        </is>
      </c>
      <c r="B87" s="15" t="inlineStr">
        <is>
          <t>IV.23</t>
        </is>
      </c>
      <c r="C87" s="15" t="inlineStr">
        <is>
          <t>8%: taxable income / loss</t>
        </is>
      </c>
      <c r="D87" s="15" t="inlineStr">
        <is>
          <t>Calculated</t>
        </is>
      </c>
      <c r="E87" s="15" t="inlineStr">
        <is>
          <t>IV.21 - IV.22</t>
        </is>
      </c>
      <c r="F87" s="15" t="inlineStr">
        <is>
          <t>Handle below-zero result per current instructions</t>
        </is>
      </c>
      <c r="G87" s="15" t="inlineStr">
        <is>
          <t>Person A / B</t>
        </is>
      </c>
      <c r="H87" s="15" t="inlineStr">
        <is>
          <t>Specified</t>
        </is>
      </c>
    </row>
    <row r="88" ht="46" customHeight="1">
      <c r="A88" s="12" t="inlineStr">
        <is>
          <t>IV</t>
        </is>
      </c>
      <c r="B88" s="12" t="inlineStr">
        <is>
          <t>IV.24</t>
        </is>
      </c>
      <c r="C88" s="12" t="inlineStr">
        <is>
          <t>8%: business income tax</t>
        </is>
      </c>
      <c r="D88" s="12" t="inlineStr">
        <is>
          <t>Calculated</t>
        </is>
      </c>
      <c r="E88" s="12" t="inlineStr">
        <is>
          <t>Applicable 8% × IV.23</t>
        </is>
      </c>
      <c r="F88" s="12" t="inlineStr">
        <is>
          <t>No negative tax; review zero handling</t>
        </is>
      </c>
      <c r="G88" s="12" t="inlineStr">
        <is>
          <t>Person A / B</t>
        </is>
      </c>
      <c r="H88" s="12" t="inlineStr">
        <is>
          <t>Specified</t>
        </is>
      </c>
    </row>
    <row r="89" ht="46" customHeight="1">
      <c r="A89" s="15" t="inlineStr">
        <is>
          <t>IV</t>
        </is>
      </c>
      <c r="B89" s="15" t="inlineStr">
        <is>
          <t>IV.25</t>
        </is>
      </c>
      <c r="C89" s="15" t="inlineStr">
        <is>
          <t>8%: total compensation + business tax</t>
        </is>
      </c>
      <c r="D89" s="15" t="inlineStr">
        <is>
          <t>Calculated</t>
        </is>
      </c>
      <c r="E89" s="15" t="inlineStr">
        <is>
          <t>IV.4 + IV.24</t>
        </is>
      </c>
      <c r="F89" s="15" t="inlineStr">
        <is>
          <t>Feeds II.22</t>
        </is>
      </c>
      <c r="G89" s="15" t="inlineStr">
        <is>
          <t>Person A / B</t>
        </is>
      </c>
      <c r="H89" s="15" t="inlineStr">
        <is>
          <t>Specified</t>
        </is>
      </c>
    </row>
    <row r="90" ht="46" customHeight="1">
      <c r="A90" s="12" t="inlineStr">
        <is>
          <t>V</t>
        </is>
      </c>
      <c r="B90" s="12" t="inlineStr">
        <is>
          <t>V.1</t>
        </is>
      </c>
      <c r="C90" s="12" t="inlineStr">
        <is>
          <t>Prior year excess credits</t>
        </is>
      </c>
      <c r="D90" s="12" t="inlineStr">
        <is>
          <t>Tax credit</t>
        </is>
      </c>
      <c r="E90" s="12" t="inlineStr">
        <is>
          <t>Prior-year final return</t>
        </is>
      </c>
      <c r="F90" s="12" t="inlineStr">
        <is>
          <t>Carryover must be eligible</t>
        </is>
      </c>
      <c r="G90" s="12" t="inlineStr">
        <is>
          <t>Person A / B</t>
        </is>
      </c>
      <c r="H90" s="12" t="inlineStr">
        <is>
          <t>Specified</t>
        </is>
      </c>
    </row>
    <row r="91" ht="46" customHeight="1">
      <c r="A91" s="15" t="inlineStr">
        <is>
          <t>V</t>
        </is>
      </c>
      <c r="B91" s="15" t="inlineStr">
        <is>
          <t>V.2</t>
        </is>
      </c>
      <c r="C91" s="15" t="inlineStr">
        <is>
          <t>Tax payments for first three quarters</t>
        </is>
      </c>
      <c r="D91" s="15" t="inlineStr">
        <is>
          <t>Tax payments</t>
        </is>
      </c>
      <c r="E91" s="15" t="inlineStr">
        <is>
          <t>1701Q payment proofs</t>
        </is>
      </c>
      <c r="F91" s="15" t="inlineStr">
        <is>
          <t>Avoid including withholding twice</t>
        </is>
      </c>
      <c r="G91" s="15" t="inlineStr">
        <is>
          <t>Person A / B</t>
        </is>
      </c>
      <c r="H91" s="15" t="inlineStr">
        <is>
          <t>Specified</t>
        </is>
      </c>
    </row>
    <row r="92" ht="46" customHeight="1">
      <c r="A92" s="12" t="inlineStr">
        <is>
          <t>V</t>
        </is>
      </c>
      <c r="B92" s="12" t="inlineStr">
        <is>
          <t>V.3</t>
        </is>
      </c>
      <c r="C92" s="12" t="inlineStr">
        <is>
          <t>Creditable tax withheld for first three quarters</t>
        </is>
      </c>
      <c r="D92" s="12" t="inlineStr">
        <is>
          <t>2307 / 1606</t>
        </is>
      </c>
      <c r="E92" s="12" t="inlineStr">
        <is>
          <t>Eligible income-tax withholding Q1–Q3</t>
        </is>
      </c>
      <c r="F92" s="12" t="inlineStr">
        <is>
          <t>Match gross income and certificates</t>
        </is>
      </c>
      <c r="G92" s="12" t="inlineStr">
        <is>
          <t>Person A / B</t>
        </is>
      </c>
      <c r="H92" s="12" t="inlineStr">
        <is>
          <t>Specified</t>
        </is>
      </c>
    </row>
    <row r="93" ht="46" customHeight="1">
      <c r="A93" s="15" t="inlineStr">
        <is>
          <t>V</t>
        </is>
      </c>
      <c r="B93" s="15" t="inlineStr">
        <is>
          <t>V.4</t>
        </is>
      </c>
      <c r="C93" s="15" t="inlineStr">
        <is>
          <t>Creditable tax withheld for fourth quarter</t>
        </is>
      </c>
      <c r="D93" s="15" t="inlineStr">
        <is>
          <t>2307 / 1606</t>
        </is>
      </c>
      <c r="E93" s="15" t="inlineStr">
        <is>
          <t>Eligible income-tax withholding Q4</t>
        </is>
      </c>
      <c r="F93" s="15" t="inlineStr">
        <is>
          <t>Do not use percentage tax withheld</t>
        </is>
      </c>
      <c r="G93" s="15" t="inlineStr">
        <is>
          <t>Person A / B</t>
        </is>
      </c>
      <c r="H93" s="15" t="inlineStr">
        <is>
          <t>Specified</t>
        </is>
      </c>
    </row>
    <row r="94" ht="46" customHeight="1">
      <c r="A94" s="12" t="inlineStr">
        <is>
          <t>V</t>
        </is>
      </c>
      <c r="B94" s="12" t="inlineStr">
        <is>
          <t>V.5</t>
        </is>
      </c>
      <c r="C94" s="12" t="inlineStr">
        <is>
          <t>Creditable tax withheld per 2316</t>
        </is>
      </c>
      <c r="D94" s="12" t="inlineStr">
        <is>
          <t>2316</t>
        </is>
      </c>
      <c r="E94" s="12" t="inlineStr">
        <is>
          <t>Taxpayer / spouse employer certificate</t>
        </is>
      </c>
      <c r="F94" s="12" t="inlineStr">
        <is>
          <t>Own salary, not business employees</t>
        </is>
      </c>
      <c r="G94" s="12" t="inlineStr">
        <is>
          <t>Person A / B</t>
        </is>
      </c>
      <c r="H94" s="12" t="inlineStr">
        <is>
          <t>Specified</t>
        </is>
      </c>
    </row>
    <row r="95" ht="46" customHeight="1">
      <c r="A95" s="15" t="inlineStr">
        <is>
          <t>V</t>
        </is>
      </c>
      <c r="B95" s="15" t="inlineStr">
        <is>
          <t>V.6</t>
        </is>
      </c>
      <c r="C95" s="15" t="inlineStr">
        <is>
          <t>Tax paid on prior return if amended</t>
        </is>
      </c>
      <c r="D95" s="15" t="inlineStr">
        <is>
          <t>Tax payments</t>
        </is>
      </c>
      <c r="E95" s="15" t="inlineStr">
        <is>
          <t>Prior annual return payment</t>
        </is>
      </c>
      <c r="F95" s="15" t="inlineStr">
        <is>
          <t>Only amended return</t>
        </is>
      </c>
      <c r="G95" s="15" t="inlineStr">
        <is>
          <t>Person A / B</t>
        </is>
      </c>
      <c r="H95" s="15" t="inlineStr">
        <is>
          <t>Specified</t>
        </is>
      </c>
    </row>
    <row r="96" ht="46" customHeight="1">
      <c r="A96" s="12" t="inlineStr">
        <is>
          <t>V</t>
        </is>
      </c>
      <c r="B96" s="12" t="inlineStr">
        <is>
          <t>V.7</t>
        </is>
      </c>
      <c r="C96" s="12" t="inlineStr">
        <is>
          <t>Foreign tax credits + foreign tax number</t>
        </is>
      </c>
      <c r="D96" s="12" t="inlineStr">
        <is>
          <t>Tax credit</t>
        </is>
      </c>
      <c r="E96" s="12" t="inlineStr">
        <is>
          <t>Foreign tax evidence</t>
        </is>
      </c>
      <c r="F96" s="12" t="inlineStr">
        <is>
          <t>Limits and eligibility require review</t>
        </is>
      </c>
      <c r="G96" s="12" t="inlineStr">
        <is>
          <t>Person A / B</t>
        </is>
      </c>
      <c r="H96" s="12" t="inlineStr">
        <is>
          <t>Specified</t>
        </is>
      </c>
    </row>
    <row r="97" ht="46" customHeight="1">
      <c r="A97" s="15" t="inlineStr">
        <is>
          <t>V</t>
        </is>
      </c>
      <c r="B97" s="15" t="inlineStr">
        <is>
          <t>V.8</t>
        </is>
      </c>
      <c r="C97" s="15" t="inlineStr">
        <is>
          <t>Special tax credits</t>
        </is>
      </c>
      <c r="D97" s="15" t="inlineStr">
        <is>
          <t>Tax credit</t>
        </is>
      </c>
      <c r="E97" s="15" t="inlineStr">
        <is>
          <t>Special-credit authority and evidence</t>
        </is>
      </c>
      <c r="F97" s="15" t="inlineStr">
        <is>
          <t>When eligible</t>
        </is>
      </c>
      <c r="G97" s="15" t="inlineStr">
        <is>
          <t>Person A / B</t>
        </is>
      </c>
      <c r="H97" s="15" t="inlineStr">
        <is>
          <t>Specified</t>
        </is>
      </c>
    </row>
    <row r="98" ht="46" customHeight="1">
      <c r="A98" s="12" t="inlineStr">
        <is>
          <t>V</t>
        </is>
      </c>
      <c r="B98" s="12" t="inlineStr">
        <is>
          <t>V.9</t>
        </is>
      </c>
      <c r="C98" s="12" t="inlineStr">
        <is>
          <t>Other tax credits/payments + description</t>
        </is>
      </c>
      <c r="D98" s="12" t="inlineStr">
        <is>
          <t>Tax credit</t>
        </is>
      </c>
      <c r="E98" s="12" t="inlineStr">
        <is>
          <t>Specific proof</t>
        </is>
      </c>
      <c r="F98" s="12" t="inlineStr">
        <is>
          <t>Avoid double counting</t>
        </is>
      </c>
      <c r="G98" s="12" t="inlineStr">
        <is>
          <t>Person A / B</t>
        </is>
      </c>
      <c r="H98" s="12" t="inlineStr">
        <is>
          <t>Specified</t>
        </is>
      </c>
    </row>
    <row r="99" ht="46" customHeight="1">
      <c r="A99" s="15" t="inlineStr">
        <is>
          <t>V</t>
        </is>
      </c>
      <c r="B99" s="15" t="inlineStr">
        <is>
          <t>V.10</t>
        </is>
      </c>
      <c r="C99" s="15" t="inlineStr">
        <is>
          <t>Total tax credits and payments</t>
        </is>
      </c>
      <c r="D99" s="15" t="inlineStr">
        <is>
          <t>Calculated</t>
        </is>
      </c>
      <c r="E99" s="15" t="inlineStr">
        <is>
          <t>Sum V.1 through V.9</t>
        </is>
      </c>
      <c r="F99" s="15" t="inlineStr">
        <is>
          <t>Feeds II.24</t>
        </is>
      </c>
      <c r="G99" s="15" t="inlineStr">
        <is>
          <t>Person A / B</t>
        </is>
      </c>
      <c r="H99" s="15" t="inlineStr">
        <is>
          <t>Specified</t>
        </is>
      </c>
    </row>
    <row r="100" ht="46" customHeight="1">
      <c r="A100" s="12" t="inlineStr">
        <is>
          <t>VI</t>
        </is>
      </c>
      <c r="B100" s="12" t="inlineStr">
        <is>
          <t>VI.1</t>
        </is>
      </c>
      <c r="C100" s="12" t="inlineStr">
        <is>
          <t>Total tax relief availment</t>
        </is>
      </c>
      <c r="D100" s="12" t="inlineStr">
        <is>
          <t>BIR use only</t>
        </is>
      </c>
      <c r="E100" s="12" t="inlineStr">
        <is>
          <t>Relief computation</t>
        </is>
      </c>
      <c r="F100" s="12" t="inlineStr">
        <is>
          <t>Form marks this section for BIR use only</t>
        </is>
      </c>
      <c r="G100" s="12" t="inlineStr">
        <is>
          <t>Person A / B</t>
        </is>
      </c>
      <c r="H100" s="12" t="inlineStr">
        <is>
          <t>BIR only</t>
        </is>
      </c>
    </row>
    <row r="101">
      <c r="A101" s="12" t="inlineStr">
        <is>
          <t>III</t>
        </is>
      </c>
      <c r="B101" s="12" t="inlineStr">
        <is>
          <t>III.39.particular</t>
        </is>
      </c>
      <c r="C101" s="12" t="inlineStr">
        <is>
          <t>Other payment: other particulars (txtOtherParticulars)</t>
        </is>
      </c>
      <c r="D101" s="12" t="inlineStr">
        <is>
          <t>Payment</t>
        </is>
      </c>
      <c r="E101" s="12" t="inlineStr">
        <is>
          <t>Payment evidence</t>
        </is>
      </c>
      <c r="F101" s="12" t="inlineStr">
        <is>
          <t>Record if method 39 is used; unmapped in pinned schema</t>
        </is>
      </c>
      <c r="G101" s="12" t="inlineStr">
        <is>
          <t>Payment row</t>
        </is>
      </c>
      <c r="H101" s="12" t="inlineStr">
        <is>
          <t>Specified; added by correction 33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9" customWidth="1" min="2" max="2"/>
    <col width="22" customWidth="1" min="3" max="3"/>
    <col width="56" customWidth="1" min="4" max="4"/>
  </cols>
  <sheetData>
    <row r="1" ht="24" customHeight="1">
      <c r="A1" s="1" t="inlineStr">
        <is>
          <t>Worked example: selected form fields</t>
        </is>
      </c>
    </row>
    <row r="2" ht="24" customHeight="1">
      <c r="A2" s="2" t="inlineStr">
        <is>
          <t>Fictional individual, graduated rates with OSD, Section 116 percentage tax, and one employee.</t>
        </is>
      </c>
    </row>
    <row r="3" ht="24" customHeight="1">
      <c r="A3" s="3" t="inlineStr">
        <is>
          <t>Quarter 3 and September 2026; annual return covers all 2026 including a hypothetical Q4. Linked to Example data, not Profile.</t>
        </is>
      </c>
    </row>
    <row r="5" ht="25" customHeight="1">
      <c r="A5" s="5" t="inlineStr">
        <is>
          <t>Form / field</t>
        </is>
      </c>
      <c r="B5" s="5" t="inlineStr">
        <is>
          <t>Field or step</t>
        </is>
      </c>
      <c r="C5" s="5" t="inlineStr">
        <is>
          <t>Amount / value</t>
        </is>
      </c>
      <c r="D5" s="5" t="inlineStr">
        <is>
          <t>Source / interpretation</t>
        </is>
      </c>
    </row>
    <row r="6" ht="25" customHeight="1">
      <c r="A6" s="6" t="inlineStr">
        <is>
          <t>2551Q S1.1.ATC</t>
        </is>
      </c>
      <c r="B6" s="6" t="inlineStr">
        <is>
          <t>Tax code</t>
        </is>
      </c>
      <c r="C6" s="28" t="inlineStr">
        <is>
          <t>PT010</t>
        </is>
      </c>
      <c r="D6" s="6" t="inlineStr">
        <is>
          <t>Example assumption, Section 116</t>
        </is>
      </c>
    </row>
    <row r="7" ht="25" customHeight="1">
      <c r="A7" s="6" t="inlineStr">
        <is>
          <t>2551Q S1.1.base</t>
        </is>
      </c>
      <c r="B7" s="6" t="inlineStr">
        <is>
          <t>Q3 taxable sales</t>
        </is>
      </c>
      <c r="C7" s="28">
        <f>SUMIFS('Example data'!$F$6:$F$12,'Example data'!$B$6:$B$12,2026,'Example data'!$C$6:$C$12,3,'Example data'!$D$6:$D$12,"Sale",'Example data'!$G$6:$G$12,"PT010")-SUMIFS('Example data'!$F$6:$F$12,'Example data'!$B$6:$B$12,2026,'Example data'!$C$6:$C$12,3,'Example data'!$D$6:$D$12,"Return",'Example data'!$G$6:$G$12,"PT010")</f>
        <v/>
      </c>
      <c r="D7" s="6" t="inlineStr">
        <is>
          <t>Q3 sale minus eligible return</t>
        </is>
      </c>
    </row>
    <row r="8" ht="25" customHeight="1">
      <c r="A8" s="6" t="inlineStr">
        <is>
          <t>2551Q S1.1.rate</t>
        </is>
      </c>
      <c r="B8" s="6" t="inlineStr">
        <is>
          <t>Percentage tax rate</t>
        </is>
      </c>
      <c r="C8" s="29">
        <f>'Example data'!B22</f>
        <v/>
      </c>
      <c r="D8" s="6" t="inlineStr">
        <is>
          <t>Example effective rate</t>
        </is>
      </c>
    </row>
    <row r="9" ht="25" customHeight="1">
      <c r="A9" s="6" t="inlineStr">
        <is>
          <t>2551Q S1.1.tax</t>
        </is>
      </c>
      <c r="B9" s="6" t="inlineStr">
        <is>
          <t>Percentage tax due</t>
        </is>
      </c>
      <c r="C9" s="28">
        <f>C7*C8</f>
        <v/>
      </c>
      <c r="D9" s="6" t="inlineStr">
        <is>
          <t>Base × rate</t>
        </is>
      </c>
    </row>
    <row r="10" ht="25" customHeight="1">
      <c r="A10" s="6" t="inlineStr">
        <is>
          <t>2551Q II.15</t>
        </is>
      </c>
      <c r="B10" s="6" t="inlineStr">
        <is>
          <t>Percentage tax withheld</t>
        </is>
      </c>
      <c r="C10" s="28">
        <f>'Example data'!B21</f>
        <v/>
      </c>
      <c r="D10" s="6" t="inlineStr">
        <is>
          <t>Not the income-tax withholding on invoices</t>
        </is>
      </c>
    </row>
    <row r="11" ht="25" customHeight="1">
      <c r="A11" s="6" t="inlineStr">
        <is>
          <t>2551Q II.18</t>
        </is>
      </c>
      <c r="B11" s="6" t="inlineStr">
        <is>
          <t>Total credits / payments (II.15 + II.16 + II.17; II.16 and II.17 are zero here)</t>
        </is>
      </c>
      <c r="C11" s="28">
        <f>C10+0+0</f>
        <v/>
      </c>
      <c r="D11" s="6" t="inlineStr">
        <is>
          <t>Only percentage-tax credit in this example; II.16 and II.17 are zero (correction 2)</t>
        </is>
      </c>
    </row>
    <row r="12" ht="25" customHeight="1">
      <c r="A12" s="23" t="inlineStr">
        <is>
          <t>2551Q II.19</t>
        </is>
      </c>
      <c r="B12" s="23" t="inlineStr">
        <is>
          <t>Tax still payable (II.14 - II.18)</t>
        </is>
      </c>
      <c r="C12" s="30">
        <f>C9-C11</f>
        <v/>
      </c>
      <c r="D12" s="23" t="inlineStr">
        <is>
          <t>Tax due minus applicable credits (correction 1: was labelled II.24)</t>
        </is>
      </c>
    </row>
    <row r="13" ht="25" customHeight="1">
      <c r="A13" s="6" t="n"/>
      <c r="B13" s="6" t="n"/>
      <c r="C13" s="28" t="n"/>
      <c r="D13" s="6" t="n"/>
    </row>
    <row r="14" ht="25" customHeight="1">
      <c r="A14" s="6" t="inlineStr">
        <is>
          <t>1601-C II.14</t>
        </is>
      </c>
      <c r="B14" s="6" t="inlineStr">
        <is>
          <t>Total compensation</t>
        </is>
      </c>
      <c r="C14" s="28">
        <f>'Example data'!D17+'Example data'!E17</f>
        <v/>
      </c>
      <c r="D14" s="6" t="inlineStr">
        <is>
          <t>Basic gross plus exempt benefits</t>
        </is>
      </c>
    </row>
    <row r="15" ht="25" customHeight="1">
      <c r="A15" s="6" t="inlineStr">
        <is>
          <t>1601-C II.18</t>
        </is>
      </c>
      <c r="B15" s="6" t="inlineStr">
        <is>
          <t>Exempt de minimis</t>
        </is>
      </c>
      <c r="C15" s="28">
        <f>'Example data'!E17</f>
        <v/>
      </c>
      <c r="D15" s="6" t="inlineStr">
        <is>
          <t>Employee payroll record</t>
        </is>
      </c>
    </row>
    <row r="16" ht="25" customHeight="1">
      <c r="A16" s="6" t="inlineStr">
        <is>
          <t>1601-C II.19</t>
        </is>
      </c>
      <c r="B16" s="6" t="inlineStr">
        <is>
          <t>Employee mandatory contributions</t>
        </is>
      </c>
      <c r="C16" s="28">
        <f>'Example data'!F17</f>
        <v/>
      </c>
      <c r="D16" s="6" t="inlineStr">
        <is>
          <t>Employee share; employer share excluded</t>
        </is>
      </c>
    </row>
    <row r="17" ht="25" customHeight="1">
      <c r="A17" s="6" t="inlineStr">
        <is>
          <t>1601-C II.21</t>
        </is>
      </c>
      <c r="B17" s="6" t="inlineStr">
        <is>
          <t>Total non-taxable compensation (II.15 to II.20)</t>
        </is>
      </c>
      <c r="C17" s="28">
        <f>0+0+0+C15+C16+0</f>
        <v/>
      </c>
      <c r="D17" s="6" t="inlineStr">
        <is>
          <t>II.15, II.16, II.17 and II.20 are zero here; II.18 = C15 and II.19 = C16 (correction 4)</t>
        </is>
      </c>
    </row>
    <row r="18" ht="25" customHeight="1">
      <c r="A18" s="6" t="inlineStr">
        <is>
          <t>1601-C II.22</t>
        </is>
      </c>
      <c r="B18" s="6" t="inlineStr">
        <is>
          <t>Total taxable compensation</t>
        </is>
      </c>
      <c r="C18" s="28">
        <f>C14-C17</f>
        <v/>
      </c>
      <c r="D18" s="6" t="inlineStr">
        <is>
          <t>Gross less non-taxable</t>
        </is>
      </c>
    </row>
    <row r="19" ht="25" customHeight="1">
      <c r="A19" s="6" t="inlineStr">
        <is>
          <t>1601-C II.23</t>
        </is>
      </c>
      <c r="B19" s="6" t="inlineStr">
        <is>
          <t>Taxable pay not subject to withholding</t>
        </is>
      </c>
      <c r="C19" s="28">
        <f>'Example data'!G17</f>
        <v/>
      </c>
      <c r="D19" s="6" t="inlineStr">
        <is>
          <t>Assumed zero for this employee</t>
        </is>
      </c>
    </row>
    <row r="20" ht="25" customHeight="1">
      <c r="A20" s="6" t="inlineStr">
        <is>
          <t>1601-C II.24</t>
        </is>
      </c>
      <c r="B20" s="6" t="inlineStr">
        <is>
          <t>Net taxable compensation</t>
        </is>
      </c>
      <c r="C20" s="28">
        <f>C18-C19</f>
        <v/>
      </c>
      <c r="D20" s="6" t="inlineStr">
        <is>
          <t>II.22 less II.23</t>
        </is>
      </c>
    </row>
    <row r="21" ht="25" customHeight="1">
      <c r="A21" s="6" t="inlineStr">
        <is>
          <t>1601-C II.25</t>
        </is>
      </c>
      <c r="B21" s="6" t="inlineStr">
        <is>
          <t>Income tax withheld</t>
        </is>
      </c>
      <c r="C21" s="28">
        <f>'Example data'!H17</f>
        <v/>
      </c>
      <c r="D21" s="6" t="inlineStr">
        <is>
          <t>From payroll; not recomputed here</t>
        </is>
      </c>
    </row>
    <row r="22" ht="25" customHeight="1">
      <c r="A22" s="6" t="inlineStr">
        <is>
          <t>1601-C II.26</t>
        </is>
      </c>
      <c r="B22" s="6" t="inlineStr">
        <is>
          <t>Previous-month adjustment</t>
        </is>
      </c>
      <c r="C22" s="28" t="n">
        <v>0</v>
      </c>
      <c r="D22" s="6" t="inlineStr">
        <is>
          <t>Assumed zero</t>
        </is>
      </c>
    </row>
    <row r="23" ht="25" customHeight="1">
      <c r="A23" s="6" t="inlineStr">
        <is>
          <t>1601-C II.27</t>
        </is>
      </c>
      <c r="B23" s="6" t="inlineStr">
        <is>
          <t>Taxes withheld for remittance</t>
        </is>
      </c>
      <c r="C23" s="28">
        <f>C21+C22</f>
        <v/>
      </c>
      <c r="D23" s="6" t="inlineStr">
        <is>
          <t>II.25 plus II.26</t>
        </is>
      </c>
    </row>
    <row r="24" ht="25" customHeight="1">
      <c r="A24" s="6" t="inlineStr">
        <is>
          <t>1601-C II.30</t>
        </is>
      </c>
      <c r="B24" s="6" t="inlineStr">
        <is>
          <t>Prior / other remittances</t>
        </is>
      </c>
      <c r="C24" s="28" t="n">
        <v>0</v>
      </c>
      <c r="D24" s="6" t="inlineStr">
        <is>
          <t>Assumed zero</t>
        </is>
      </c>
    </row>
    <row r="25" ht="25" customHeight="1">
      <c r="A25" s="23" t="inlineStr">
        <is>
          <t>1601-C II.31</t>
        </is>
      </c>
      <c r="B25" s="23" t="inlineStr">
        <is>
          <t>Tax still due / over-remittance (II.27 - II.30)</t>
        </is>
      </c>
      <c r="C25" s="30">
        <f>C23-C24</f>
        <v/>
      </c>
      <c r="D25" s="23" t="inlineStr">
        <is>
          <t>No penalties in this example (correction 3: was labelled II.36)</t>
        </is>
      </c>
    </row>
    <row r="26" ht="25" customHeight="1">
      <c r="A26" s="6" t="n"/>
      <c r="B26" s="6" t="n"/>
      <c r="C26" s="28" t="n"/>
      <c r="D26" s="6" t="n"/>
    </row>
    <row r="27" ht="25" customHeight="1">
      <c r="A27" s="6" t="inlineStr">
        <is>
          <t>1701-MS IV.5</t>
        </is>
      </c>
      <c r="B27" s="6" t="inlineStr">
        <is>
          <t>Annual sales</t>
        </is>
      </c>
      <c r="C27" s="28">
        <f>SUMIFS('Example data'!$F$6:$F$12,'Example data'!$B$6:$B$12,2026,'Example data'!$D$6:$D$12,"Sale")</f>
        <v/>
      </c>
      <c r="D27" s="6" t="inlineStr">
        <is>
          <t>Sum annual sale entries</t>
        </is>
      </c>
    </row>
    <row r="28" ht="25" customHeight="1">
      <c r="A28" s="6" t="inlineStr">
        <is>
          <t>1701-MS IV.6</t>
        </is>
      </c>
      <c r="B28" s="6" t="inlineStr">
        <is>
          <t>Annual returns / discounts</t>
        </is>
      </c>
      <c r="C28" s="28">
        <f>SUMIFS('Example data'!$F$6:$F$12,'Example data'!$B$6:$B$12,2026,'Example data'!$D$6:$D$12,"Return")</f>
        <v/>
      </c>
      <c r="D28" s="6" t="inlineStr">
        <is>
          <t>Sum annual return entries</t>
        </is>
      </c>
    </row>
    <row r="29" ht="25" customHeight="1">
      <c r="A29" s="6" t="inlineStr">
        <is>
          <t>1701-MS IV.7</t>
        </is>
      </c>
      <c r="B29" s="6" t="inlineStr">
        <is>
          <t>Net annual sales</t>
        </is>
      </c>
      <c r="C29" s="28">
        <f>C27-C28</f>
        <v/>
      </c>
      <c r="D29" s="6" t="inlineStr">
        <is>
          <t>IV.5 minus IV.6</t>
        </is>
      </c>
    </row>
    <row r="30" ht="25" customHeight="1">
      <c r="A30" s="6" t="inlineStr">
        <is>
          <t>1701-MS IV.11</t>
        </is>
      </c>
      <c r="B30" s="6" t="inlineStr">
        <is>
          <t>Optional standard deduction</t>
        </is>
      </c>
      <c r="C30" s="28">
        <f>C29*'Example data'!B23</f>
        <v/>
      </c>
      <c r="D30" s="6" t="inlineStr">
        <is>
          <t>40% of IV.7</t>
        </is>
      </c>
    </row>
    <row r="31" ht="25" customHeight="1">
      <c r="A31" s="6" t="inlineStr">
        <is>
          <t>1701-MS IV.13</t>
        </is>
      </c>
      <c r="B31" s="6" t="inlineStr">
        <is>
          <t>Other non-operating income</t>
        </is>
      </c>
      <c r="C31" s="28" t="n">
        <v>0</v>
      </c>
      <c r="D31" s="6" t="inlineStr">
        <is>
          <t>Assumed zero</t>
        </is>
      </c>
    </row>
    <row r="32" ht="25" customHeight="1">
      <c r="A32" s="6" t="inlineStr">
        <is>
          <t>1701-MS IV.14</t>
        </is>
      </c>
      <c r="B32" s="6" t="inlineStr">
        <is>
          <t>Taxable business income</t>
        </is>
      </c>
      <c r="C32" s="28">
        <f>C29-C30+C31</f>
        <v/>
      </c>
      <c r="D32" s="6" t="inlineStr">
        <is>
          <t>Net sales minus OSD plus other income</t>
        </is>
      </c>
    </row>
    <row r="33" ht="25" customHeight="1">
      <c r="A33" s="6" t="inlineStr">
        <is>
          <t>1701-MS IV.18B</t>
        </is>
      </c>
      <c r="B33" s="6" t="inlineStr">
        <is>
          <t>Graduated income tax due (applied to IV.15 = IV.3 + IV.14)</t>
        </is>
      </c>
      <c r="C33" s="28">
        <f>IF((C43+C32)&lt;=250000,0,IF((C43+C32)&lt;=400000,((C43+C32)-250000)*0.15,IF((C43+C32)&lt;=800000,22500+((C43+C32)-400000)*0.2,IF((C43+C32)&lt;=2000000,102500+((C43+C32)-800000)*0.25,IF((C43+C32)&lt;=8000000,402500+((C43+C32)-2000000)*0.3,2202500+((C43+C32)-8000000)*0.35)))))</f>
        <v/>
      </c>
      <c r="D33" s="6" t="inlineStr">
        <is>
          <t>Applied to IV.15 = IV.3 + IV.14; IV.3 is zero here (correction 5). Illustration: current progressive brackets</t>
        </is>
      </c>
    </row>
    <row r="34" ht="25" customHeight="1">
      <c r="A34" s="6" t="inlineStr">
        <is>
          <t>1701-MS V.2</t>
        </is>
      </c>
      <c r="B34" s="6" t="inlineStr">
        <is>
          <t>Q1–Q3 tax payments</t>
        </is>
      </c>
      <c r="C34" s="28">
        <f>'Example data'!B20</f>
        <v/>
      </c>
      <c r="D34" s="6" t="inlineStr">
        <is>
          <t>Input supported by prior 1701Q payments</t>
        </is>
      </c>
    </row>
    <row r="35" ht="25" customHeight="1">
      <c r="A35" s="6" t="inlineStr">
        <is>
          <t>1701-MS V.3</t>
        </is>
      </c>
      <c r="B35" s="6" t="inlineStr">
        <is>
          <t>Q1–Q3 income-tax withholding</t>
        </is>
      </c>
      <c r="C35" s="28">
        <f>SUMIFS('Example data'!$H$6:$H$12,'Example data'!$B$6:$B$12,2026,'Example data'!$C$6:$C$12,"&lt;=3")</f>
        <v/>
      </c>
      <c r="D35" s="6" t="inlineStr">
        <is>
          <t>Income-tax 2307s; three quarters</t>
        </is>
      </c>
    </row>
    <row r="36" ht="25" customHeight="1">
      <c r="A36" s="6" t="inlineStr">
        <is>
          <t>1701-MS V.4</t>
        </is>
      </c>
      <c r="B36" s="6" t="inlineStr">
        <is>
          <t>Q4 income-tax withholding</t>
        </is>
      </c>
      <c r="C36" s="28">
        <f>SUMIFS('Example data'!$H$6:$H$12,'Example data'!$B$6:$B$12,2026,'Example data'!$C$6:$C$12,4)</f>
        <v/>
      </c>
      <c r="D36" s="6" t="inlineStr">
        <is>
          <t>Income-tax 2307s; Q4</t>
        </is>
      </c>
    </row>
    <row r="37" ht="25" customHeight="1">
      <c r="A37" s="6" t="inlineStr">
        <is>
          <t>1701-MS V.10</t>
        </is>
      </c>
      <c r="B37" s="6" t="inlineStr">
        <is>
          <t>Total credits / payments</t>
        </is>
      </c>
      <c r="C37" s="28">
        <f>SUM(C34:C36)</f>
        <v/>
      </c>
      <c r="D37" s="6" t="inlineStr">
        <is>
          <t>Sum the three amounts above</t>
        </is>
      </c>
    </row>
    <row r="38" ht="25" customHeight="1">
      <c r="A38" s="6" t="inlineStr">
        <is>
          <t>1701-MS II.24</t>
        </is>
      </c>
      <c r="B38" s="6" t="inlineStr">
        <is>
          <t>Total credits / payments</t>
        </is>
      </c>
      <c r="C38" s="28">
        <f>C37</f>
        <v/>
      </c>
      <c r="D38" s="6" t="inlineStr">
        <is>
          <t>From V.10</t>
        </is>
      </c>
    </row>
    <row r="39" ht="25" customHeight="1">
      <c r="A39" s="23" t="inlineStr">
        <is>
          <t>1701-MS II.25</t>
        </is>
      </c>
      <c r="B39" s="23" t="inlineStr">
        <is>
          <t>Tax payable / overpayment (II.23 - II.24)</t>
        </is>
      </c>
      <c r="C39" s="30">
        <f>C44-C38</f>
        <v/>
      </c>
      <c r="D39" s="23" t="inlineStr">
        <is>
          <t>Equals II.27 and II.29 here: no second installment or penalties (correction 7). Chain in rows 43-46.</t>
        </is>
      </c>
    </row>
    <row r="40">
      <c r="A40" s="6" t="inlineStr">
        <is>
          <t>2551Q II.14</t>
        </is>
      </c>
      <c r="B40" s="6" t="inlineStr">
        <is>
          <t>Total tax due (= Schedule 1 item 7)</t>
        </is>
      </c>
      <c r="C40" s="28">
        <f>C9</f>
        <v/>
      </c>
      <c r="D40" s="6" t="inlineStr">
        <is>
          <t>Added by correction 1.</t>
        </is>
      </c>
    </row>
    <row r="41">
      <c r="A41" s="6" t="inlineStr">
        <is>
          <t>2551Q II.24</t>
        </is>
      </c>
      <c r="B41" s="6" t="inlineStr">
        <is>
          <t>Total amount payable (II.19 + II.23)</t>
        </is>
      </c>
      <c r="C41" s="28">
        <f>C12+0</f>
        <v/>
      </c>
      <c r="D41" s="6" t="inlineStr">
        <is>
          <t>Added by correction 1. II.23 (penalties) is zero here.</t>
        </is>
      </c>
    </row>
    <row r="42">
      <c r="A42" s="6" t="inlineStr">
        <is>
          <t>1601-C II.36</t>
        </is>
      </c>
      <c r="B42" s="6" t="inlineStr">
        <is>
          <t>Amount still due (II.31 + II.35)</t>
        </is>
      </c>
      <c r="C42" s="28">
        <f>C25+0</f>
        <v/>
      </c>
      <c r="D42" s="6" t="inlineStr">
        <is>
          <t>Added by correction 3. II.35 (penalties) is zero here.</t>
        </is>
      </c>
    </row>
    <row r="43">
      <c r="A43" s="6" t="inlineStr">
        <is>
          <t>1701-MS IV.3</t>
        </is>
      </c>
      <c r="B43" s="6" t="inlineStr">
        <is>
          <t>Taxable compensation (IV.1 - IV.2)</t>
        </is>
      </c>
      <c r="C43" s="28" t="n">
        <v>0</v>
      </c>
      <c r="D43" s="6" t="inlineStr">
        <is>
          <t>Added by correction 5. Zero in this example (no compensation).</t>
        </is>
      </c>
    </row>
    <row r="44">
      <c r="A44" s="6" t="inlineStr">
        <is>
          <t>1701-MS II.23</t>
        </is>
      </c>
      <c r="B44" s="6" t="inlineStr">
        <is>
          <t>Total income tax due (II.21 + II.22)</t>
        </is>
      </c>
      <c r="C44" s="28">
        <f>0+C33</f>
        <v/>
      </c>
      <c r="D44" s="6" t="inlineStr">
        <is>
          <t>Added by correction 7. II.21 is zero here.</t>
        </is>
      </c>
    </row>
    <row r="45">
      <c r="A45" s="6" t="inlineStr">
        <is>
          <t>1701-MS II.27</t>
        </is>
      </c>
      <c r="B45" s="6" t="inlineStr">
        <is>
          <t>Amount payable (II.25 - II.26)</t>
        </is>
      </c>
      <c r="C45" s="28">
        <f>C39-0</f>
        <v/>
      </c>
      <c r="D45" s="6" t="inlineStr">
        <is>
          <t>Added by correction 7. II.26 (second installment) is zero here.</t>
        </is>
      </c>
    </row>
    <row r="46">
      <c r="A46" s="6" t="inlineStr">
        <is>
          <t>1701-MS II.29</t>
        </is>
      </c>
      <c r="B46" s="6" t="inlineStr">
        <is>
          <t>Total amount payable (II.27 + II.28D)</t>
        </is>
      </c>
      <c r="C46" s="28">
        <f>C45+0</f>
        <v/>
      </c>
      <c r="D46" s="6" t="inlineStr">
        <is>
          <t>Added by correction 7. II.28D (penalties) is zero here.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9" customWidth="1" min="4" max="4"/>
    <col width="31" customWidth="1" min="5" max="5"/>
    <col width="21" customWidth="1" min="6" max="6"/>
    <col width="16" customWidth="1" min="7" max="7"/>
    <col width="21" customWidth="1" min="8" max="8"/>
    <col width="42" customWidth="1" min="9" max="9"/>
  </cols>
  <sheetData>
    <row r="1" ht="24" customHeight="1">
      <c r="A1" s="1" t="inlineStr">
        <is>
          <t>Fictional transactions and payroll</t>
        </is>
      </c>
    </row>
    <row r="2" ht="24" customHeight="1">
      <c r="A2" s="2" t="inlineStr">
        <is>
          <t>These records feed the Worked example. All amounts are Philippine pesos; the annual Q4 transaction is hypothetical.</t>
        </is>
      </c>
    </row>
    <row r="3" ht="24" customHeight="1">
      <c r="A3" s="3" t="inlineStr">
        <is>
          <t>Income-tax withholding on the sales is distinct from any percentage-tax withholding.</t>
        </is>
      </c>
    </row>
    <row r="5" ht="25" customHeight="1">
      <c r="A5" s="5" t="inlineStr">
        <is>
          <t>Reference</t>
        </is>
      </c>
      <c r="B5" s="5" t="inlineStr">
        <is>
          <t>Year</t>
        </is>
      </c>
      <c r="C5" s="5" t="inlineStr">
        <is>
          <t>Quarter</t>
        </is>
      </c>
      <c r="D5" s="5" t="inlineStr">
        <is>
          <t>Type</t>
        </is>
      </c>
      <c r="E5" s="5" t="inlineStr">
        <is>
          <t>Category key</t>
        </is>
      </c>
      <c r="F5" s="5" t="inlineStr">
        <is>
          <t>Base amount</t>
        </is>
      </c>
      <c r="G5" s="5" t="inlineStr">
        <is>
          <t>PT ATC</t>
        </is>
      </c>
      <c r="H5" s="5" t="inlineStr">
        <is>
          <t>Income CWT</t>
        </is>
      </c>
      <c r="I5" s="5" t="inlineStr">
        <is>
          <t>Evidence</t>
        </is>
      </c>
    </row>
    <row r="6" ht="25" customHeight="1">
      <c r="A6" s="8" t="inlineStr">
        <is>
          <t>INV-Q1</t>
        </is>
      </c>
      <c r="B6" s="8" t="n">
        <v>2026</v>
      </c>
      <c r="C6" s="8" t="n">
        <v>1</v>
      </c>
      <c r="D6" s="8" t="inlineStr">
        <is>
          <t>Sale</t>
        </is>
      </c>
      <c r="E6" s="8" t="inlineStr">
        <is>
          <t>sales_revenue</t>
        </is>
      </c>
      <c r="F6" s="31" t="n">
        <v>300000</v>
      </c>
      <c r="G6" s="8" t="inlineStr">
        <is>
          <t>PT010</t>
        </is>
      </c>
      <c r="H6" s="31" t="n">
        <v>3000</v>
      </c>
      <c r="I6" s="8" t="inlineStr">
        <is>
          <t>Invoice + income-tax 2307</t>
        </is>
      </c>
    </row>
    <row r="7" ht="25" customHeight="1">
      <c r="A7" s="8" t="inlineStr">
        <is>
          <t>INV-Q2</t>
        </is>
      </c>
      <c r="B7" s="8" t="n">
        <v>2026</v>
      </c>
      <c r="C7" s="8" t="n">
        <v>2</v>
      </c>
      <c r="D7" s="8" t="inlineStr">
        <is>
          <t>Sale</t>
        </is>
      </c>
      <c r="E7" s="8" t="inlineStr">
        <is>
          <t>sales_revenue</t>
        </is>
      </c>
      <c r="F7" s="31" t="n">
        <v>300000</v>
      </c>
      <c r="G7" s="8" t="inlineStr">
        <is>
          <t>PT010</t>
        </is>
      </c>
      <c r="H7" s="31" t="n">
        <v>3000</v>
      </c>
      <c r="I7" s="8" t="inlineStr">
        <is>
          <t>Invoice + income-tax 2307</t>
        </is>
      </c>
    </row>
    <row r="8" ht="25" customHeight="1">
      <c r="A8" s="8" t="inlineStr">
        <is>
          <t>INV-Q3</t>
        </is>
      </c>
      <c r="B8" s="8" t="n">
        <v>2026</v>
      </c>
      <c r="C8" s="8" t="n">
        <v>3</v>
      </c>
      <c r="D8" s="8" t="inlineStr">
        <is>
          <t>Sale</t>
        </is>
      </c>
      <c r="E8" s="8" t="inlineStr">
        <is>
          <t>sales_revenue</t>
        </is>
      </c>
      <c r="F8" s="31" t="n">
        <v>300000</v>
      </c>
      <c r="G8" s="8" t="inlineStr">
        <is>
          <t>PT010</t>
        </is>
      </c>
      <c r="H8" s="31" t="n">
        <v>2900</v>
      </c>
      <c r="I8" s="8" t="inlineStr">
        <is>
          <t>Invoice + income-tax 2307</t>
        </is>
      </c>
    </row>
    <row r="9" ht="25" customHeight="1">
      <c r="A9" s="8" t="inlineStr">
        <is>
          <t>CN-Q3</t>
        </is>
      </c>
      <c r="B9" s="8" t="n">
        <v>2026</v>
      </c>
      <c r="C9" s="8" t="n">
        <v>3</v>
      </c>
      <c r="D9" s="8" t="inlineStr">
        <is>
          <t>Return</t>
        </is>
      </c>
      <c r="E9" s="8" t="inlineStr">
        <is>
          <t>refunds_and_discounts</t>
        </is>
      </c>
      <c r="F9" s="31" t="n">
        <v>10000</v>
      </c>
      <c r="G9" s="8" t="inlineStr">
        <is>
          <t>PT010</t>
        </is>
      </c>
      <c r="H9" s="31" t="n">
        <v>0</v>
      </c>
      <c r="I9" s="8" t="inlineStr">
        <is>
          <t>Credit note against Q3 sale</t>
        </is>
      </c>
    </row>
    <row r="10" ht="25" customHeight="1">
      <c r="A10" s="8" t="inlineStr">
        <is>
          <t>INV-Q4</t>
        </is>
      </c>
      <c r="B10" s="8" t="n">
        <v>2026</v>
      </c>
      <c r="C10" s="8" t="n">
        <v>4</v>
      </c>
      <c r="D10" s="8" t="inlineStr">
        <is>
          <t>Sale</t>
        </is>
      </c>
      <c r="E10" s="8" t="inlineStr">
        <is>
          <t>sales_revenue</t>
        </is>
      </c>
      <c r="F10" s="31" t="n">
        <v>300000</v>
      </c>
      <c r="G10" s="8" t="inlineStr">
        <is>
          <t>PT010</t>
        </is>
      </c>
      <c r="H10" s="31" t="n">
        <v>3000</v>
      </c>
      <c r="I10" s="8" t="inlineStr">
        <is>
          <t>Invoice + income-tax 2307</t>
        </is>
      </c>
    </row>
    <row r="11" ht="25" customHeight="1">
      <c r="A11" s="8" t="inlineStr">
        <is>
          <t>EXP-Q3</t>
        </is>
      </c>
      <c r="B11" s="8" t="n">
        <v>2026</v>
      </c>
      <c r="C11" s="8" t="n">
        <v>3</v>
      </c>
      <c r="D11" s="8" t="inlineStr">
        <is>
          <t>Expense</t>
        </is>
      </c>
      <c r="E11" s="8" t="inlineStr">
        <is>
          <t>office_supplies</t>
        </is>
      </c>
      <c r="F11" s="31" t="n">
        <v>20000</v>
      </c>
      <c r="G11" s="8" t="str"/>
      <c r="H11" s="31" t="n">
        <v>0</v>
      </c>
      <c r="I11" s="8" t="inlineStr">
        <is>
          <t>Supplier invoice</t>
        </is>
      </c>
    </row>
    <row r="12" ht="25" customHeight="1">
      <c r="A12" s="8" t="inlineStr">
        <is>
          <t>PAY-SEP</t>
        </is>
      </c>
      <c r="B12" s="8" t="n">
        <v>2026</v>
      </c>
      <c r="C12" s="8" t="n">
        <v>3</v>
      </c>
      <c r="D12" s="8" t="inlineStr">
        <is>
          <t>Expense</t>
        </is>
      </c>
      <c r="E12" s="8" t="inlineStr">
        <is>
          <t>salaries</t>
        </is>
      </c>
      <c r="F12" s="31" t="n">
        <v>42000</v>
      </c>
      <c r="G12" s="8" t="str"/>
      <c r="H12" s="31" t="n">
        <v>0</v>
      </c>
      <c r="I12" s="8" t="inlineStr">
        <is>
          <t>Gross employee payroll, September 2026 only (one month; July and August absent) (correction 10)</t>
        </is>
      </c>
    </row>
    <row r="15">
      <c r="A15" s="9" t="inlineStr">
        <is>
          <t>One hypothetical employee, September 2026</t>
        </is>
      </c>
    </row>
    <row r="16" ht="38" customHeight="1">
      <c r="A16" s="16" t="inlineStr">
        <is>
          <t>Employee</t>
        </is>
      </c>
      <c r="B16" s="16" t="inlineStr">
        <is>
          <t>Year</t>
        </is>
      </c>
      <c r="C16" s="16" t="inlineStr">
        <is>
          <t>Month</t>
        </is>
      </c>
      <c r="D16" s="16" t="inlineStr">
        <is>
          <t>Basic gross</t>
        </is>
      </c>
      <c r="E16" s="16" t="inlineStr">
        <is>
          <t>Exempt de minimis</t>
        </is>
      </c>
      <c r="F16" s="16" t="inlineStr">
        <is>
          <t>Employee contributions</t>
        </is>
      </c>
      <c r="G16" s="16" t="inlineStr">
        <is>
          <t>Below-threshold taxable pay</t>
        </is>
      </c>
      <c r="H16" s="16" t="inlineStr">
        <is>
          <t>Tax withheld</t>
        </is>
      </c>
    </row>
    <row r="17" ht="25" customHeight="1">
      <c r="A17" s="8" t="inlineStr">
        <is>
          <t>E-001</t>
        </is>
      </c>
      <c r="B17" s="8" t="n">
        <v>2026</v>
      </c>
      <c r="C17" s="8" t="n">
        <v>9</v>
      </c>
      <c r="D17" s="31" t="n">
        <v>40000</v>
      </c>
      <c r="E17" s="31" t="n">
        <v>2000</v>
      </c>
      <c r="F17" s="31" t="n">
        <v>2000</v>
      </c>
      <c r="G17" s="31" t="n">
        <v>0</v>
      </c>
      <c r="H17" s="31" t="n">
        <v>2808.4</v>
      </c>
    </row>
    <row r="20">
      <c r="A20" t="inlineStr">
        <is>
          <t>Q1–Q3 income-tax payments</t>
        </is>
      </c>
      <c r="B20" s="31" t="n">
        <v>40400</v>
      </c>
    </row>
    <row r="21">
      <c r="A21" t="inlineStr">
        <is>
          <t>Quarterly percentage tax withheld</t>
        </is>
      </c>
      <c r="B21" s="31" t="n">
        <v>0</v>
      </c>
    </row>
    <row r="22">
      <c r="A22" t="inlineStr">
        <is>
          <t>Section 116 percentage rate</t>
        </is>
      </c>
      <c r="B22" s="32" t="n">
        <v>0.03</v>
      </c>
    </row>
    <row r="23">
      <c r="A23" t="inlineStr">
        <is>
          <t>Individual OSD rate</t>
        </is>
      </c>
      <c r="B23" s="32" t="n">
        <v>0.4</v>
      </c>
    </row>
    <row r="25">
      <c r="A25" t="inlineStr">
        <is>
          <t>Data is for demonstrating field lineage. Prior payments and withholding are assumed supported; no statutory determination or payroll calculation is performed.</t>
        </is>
      </c>
    </row>
    <row r="26">
      <c r="A26" t="inlineStr">
        <is>
          <t>Example assumes the tax periods, taxpayer eligibility, ATC, benefit exemptions, carryovers and prior payments have already been verified.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33" customWidth="1" min="2" max="2"/>
    <col width="24" customWidth="1" min="3" max="3"/>
    <col width="57" customWidth="1" min="4" max="4"/>
    <col width="19" customWidth="1" min="5" max="5"/>
    <col width="22" customWidth="1" min="6" max="6"/>
    <col width="20" customWidth="1" min="7" max="7"/>
    <col width="22" customWidth="1" min="8" max="8"/>
  </cols>
  <sheetData>
    <row r="1" ht="24" customHeight="1">
      <c r="A1" s="1" t="inlineStr">
        <is>
          <t>Common form catalog</t>
        </is>
      </c>
    </row>
    <row r="2" ht="24" customHeight="1">
      <c r="A2" s="2" t="inlineStr">
        <is>
          <t>Scope filtering is only a legal-entity screen; tax type, activity, elections and period still determine the actual filing.</t>
        </is>
      </c>
    </row>
    <row r="3" ht="24" customHeight="1">
      <c r="A3" s="3" t="inlineStr">
        <is>
          <t>Only the three indicated forms have field dictionaries in this workbook; do not interpret “Not mapped” as no filing duty.</t>
        </is>
      </c>
    </row>
    <row r="5" ht="32" customHeight="1">
      <c r="A5" s="14" t="inlineStr">
        <is>
          <t>Form</t>
        </is>
      </c>
      <c r="B5" s="14" t="inlineStr">
        <is>
          <t>Purpose</t>
        </is>
      </c>
      <c r="C5" s="14" t="inlineStr">
        <is>
          <t>Entity scope</t>
        </is>
      </c>
      <c r="D5" s="14" t="inlineStr">
        <is>
          <t>Typical trigger</t>
        </is>
      </c>
      <c r="E5" s="14" t="inlineStr">
        <is>
          <t>Frequency</t>
        </is>
      </c>
      <c r="F5" s="14" t="inlineStr">
        <is>
          <t>Coverage</t>
        </is>
      </c>
      <c r="G5" s="14" t="inlineStr">
        <is>
          <t>Entity screen</t>
        </is>
      </c>
      <c r="H5" s="14" t="inlineStr">
        <is>
          <t>Profile selection</t>
        </is>
      </c>
    </row>
    <row r="6" ht="46" customHeight="1">
      <c r="A6" s="12" t="inlineStr">
        <is>
          <t>1700</t>
        </is>
      </c>
      <c r="B6" s="12" t="inlineStr">
        <is>
          <t>Annual compensation return</t>
        </is>
      </c>
      <c r="C6" s="12" t="inlineStr">
        <is>
          <t>Individual</t>
        </is>
      </c>
      <c r="D6" s="12" t="inlineStr">
        <is>
          <t>Employee must file; substitution rules may apply</t>
        </is>
      </c>
      <c r="E6" s="12" t="inlineStr">
        <is>
          <t>Annual</t>
        </is>
      </c>
      <c r="F6" s="12" t="inlineStr">
        <is>
          <t>Not mapped</t>
        </is>
      </c>
      <c r="G6" s="12">
        <f>IF(OR(C6="Any",AND(C6="Individual",Profile!$C$6="Individual"),AND(C6="Individual/Fiduciary",OR(Profile!$C$6="Individual",Profile!$C$6="Estate/Trust")),AND(C6="Non-individual",OR(Profile!$C$6="Corporation",Profile!$C$6="Partnership")),AND(C6="Estate/Trust",Profile!$C$6="Estate/Trust")),"In scope","Out of scope")</f>
        <v/>
      </c>
      <c r="H6" s="12">
        <f>"Not selected here"</f>
        <v/>
      </c>
    </row>
    <row r="7" ht="46" customHeight="1">
      <c r="A7" s="15" t="inlineStr">
        <is>
          <t>1701Q</t>
        </is>
      </c>
      <c r="B7" s="15" t="inlineStr">
        <is>
          <t>Quarterly individual income tax</t>
        </is>
      </c>
      <c r="C7" s="15" t="inlineStr">
        <is>
          <t>Individual/Fiduciary</t>
        </is>
      </c>
      <c r="D7" s="15" t="inlineStr">
        <is>
          <t>Business / professional income when required</t>
        </is>
      </c>
      <c r="E7" s="15" t="inlineStr">
        <is>
          <t>Q1–Q3</t>
        </is>
      </c>
      <c r="F7" s="15" t="inlineStr">
        <is>
          <t>Not mapped</t>
        </is>
      </c>
      <c r="G7" s="15">
        <f>IF(OR(C7="Any",AND(C7="Individual",Profile!$C$6="Individual"),AND(C7="Individual/Fiduciary",OR(Profile!$C$6="Individual",Profile!$C$6="Estate/Trust")),AND(C7="Non-individual",OR(Profile!$C$6="Corporation",Profile!$C$6="Partnership")),AND(C7="Estate/Trust",Profile!$C$6="Estate/Trust")),"In scope","Out of scope")</f>
        <v/>
      </c>
      <c r="H7" s="15">
        <f>IF(Profile!$G$6="Yes","Selected","Not selected")</f>
        <v/>
      </c>
    </row>
    <row r="8" ht="46" customHeight="1">
      <c r="A8" s="12" t="inlineStr">
        <is>
          <t>1701</t>
        </is>
      </c>
      <c r="B8" s="12" t="inlineStr">
        <is>
          <t>Annual individual income tax</t>
        </is>
      </c>
      <c r="C8" s="12" t="inlineStr">
        <is>
          <t>Individual/Fiduciary</t>
        </is>
      </c>
      <c r="D8" s="12" t="inlineStr">
        <is>
          <t>Business, mixed, multiple regimes and other applicable cases</t>
        </is>
      </c>
      <c r="E8" s="12" t="inlineStr">
        <is>
          <t>Annual</t>
        </is>
      </c>
      <c r="F8" s="12" t="inlineStr">
        <is>
          <t>Not mapped</t>
        </is>
      </c>
      <c r="G8" s="12">
        <f>IF(OR(C8="Any",AND(C8="Individual",Profile!$C$6="Individual"),AND(C8="Individual/Fiduciary",OR(Profile!$C$6="Individual",Profile!$C$6="Estate/Trust")),AND(C8="Non-individual",OR(Profile!$C$6="Corporation",Profile!$C$6="Partnership")),AND(C8="Estate/Trust",Profile!$C$6="Estate/Trust")),"In scope","Out of scope")</f>
        <v/>
      </c>
      <c r="H8" s="12">
        <f>IF(Profile!$G$10="Yes","Selected","Not selected")</f>
        <v/>
      </c>
    </row>
    <row r="9" ht="46" customHeight="1">
      <c r="A9" s="15" t="inlineStr">
        <is>
          <t>1701A</t>
        </is>
      </c>
      <c r="B9" s="15" t="inlineStr">
        <is>
          <t>Annual pure business income tax</t>
        </is>
      </c>
      <c r="C9" s="15" t="inlineStr">
        <is>
          <t>Individual</t>
        </is>
      </c>
      <c r="D9" s="15" t="inlineStr">
        <is>
          <t>Eligible pure business, 8% or graduated + OSD</t>
        </is>
      </c>
      <c r="E9" s="15" t="inlineStr">
        <is>
          <t>Annual</t>
        </is>
      </c>
      <c r="F9" s="15" t="inlineStr">
        <is>
          <t>Not mapped</t>
        </is>
      </c>
      <c r="G9" s="15">
        <f>IF(OR(C9="Any",AND(C9="Individual",Profile!$C$6="Individual"),AND(C9="Individual/Fiduciary",OR(Profile!$C$6="Individual",Profile!$C$6="Estate/Trust")),AND(C9="Non-individual",OR(Profile!$C$6="Corporation",Profile!$C$6="Partnership")),AND(C9="Estate/Trust",Profile!$C$6="Estate/Trust")),"In scope","Out of scope")</f>
        <v/>
      </c>
      <c r="H9" s="15">
        <f>IF(Profile!$G$10="Yes","Selected","Not selected")</f>
        <v/>
      </c>
    </row>
    <row r="10" ht="46" customHeight="1">
      <c r="A10" s="12" t="inlineStr">
        <is>
          <t>1701-MS</t>
        </is>
      </c>
      <c r="B10" s="12" t="inlineStr">
        <is>
          <t>Annual micro / small individual income tax</t>
        </is>
      </c>
      <c r="C10" s="12" t="inlineStr">
        <is>
          <t>Individual/Fiduciary</t>
        </is>
      </c>
      <c r="D10" s="12" t="inlineStr">
        <is>
          <t>Eligible micro/small individual; check form restrictions</t>
        </is>
      </c>
      <c r="E10" s="12" t="inlineStr">
        <is>
          <t>Annual</t>
        </is>
      </c>
      <c r="F10" s="12" t="inlineStr">
        <is>
          <t>Field dictionary</t>
        </is>
      </c>
      <c r="G10" s="12">
        <f>IF(OR(C10="Any",AND(C10="Individual",Profile!$C$6="Individual"),AND(C10="Individual/Fiduciary",OR(Profile!$C$6="Individual",Profile!$C$6="Estate/Trust")),AND(C10="Non-individual",OR(Profile!$C$6="Corporation",Profile!$C$6="Partnership")),AND(C10="Estate/Trust",Profile!$C$6="Estate/Trust")),"In scope","Out of scope")</f>
        <v/>
      </c>
      <c r="H10" s="12">
        <f>IF(Profile!$C$9="Yes","Selected","Not selected")</f>
        <v/>
      </c>
    </row>
    <row r="11" ht="46" customHeight="1">
      <c r="A11" s="15" t="inlineStr">
        <is>
          <t>1702Q</t>
        </is>
      </c>
      <c r="B11" s="15" t="inlineStr">
        <is>
          <t>Quarterly corporate income tax</t>
        </is>
      </c>
      <c r="C11" s="15" t="inlineStr">
        <is>
          <t>Non-individual</t>
        </is>
      </c>
      <c r="D11" s="15" t="inlineStr">
        <is>
          <t>Taxable corporation / partnership when required</t>
        </is>
      </c>
      <c r="E11" s="15" t="inlineStr">
        <is>
          <t>Q1–Q3</t>
        </is>
      </c>
      <c r="F11" s="15" t="inlineStr">
        <is>
          <t>Not mapped</t>
        </is>
      </c>
      <c r="G11" s="15">
        <f>IF(OR(C11="Any",AND(C11="Individual",Profile!$C$6="Individual"),AND(C11="Individual/Fiduciary",OR(Profile!$C$6="Individual",Profile!$C$6="Estate/Trust")),AND(C11="Non-individual",OR(Profile!$C$6="Corporation",Profile!$C$6="Partnership")),AND(C11="Estate/Trust",Profile!$C$6="Estate/Trust")),"In scope","Out of scope")</f>
        <v/>
      </c>
      <c r="H11" s="15">
        <f>IF(Profile!$G$7="Yes","Selected","Not selected")</f>
        <v/>
      </c>
    </row>
    <row r="12" ht="46" customHeight="1">
      <c r="A12" s="12" t="inlineStr">
        <is>
          <t>1702-RT</t>
        </is>
      </c>
      <c r="B12" s="12" t="inlineStr">
        <is>
          <t>Regular-rate corporate annual</t>
        </is>
      </c>
      <c r="C12" s="12" t="inlineStr">
        <is>
          <t>Non-individual</t>
        </is>
      </c>
      <c r="D12" s="12" t="inlineStr">
        <is>
          <t>Regular-rate corporation / partnership</t>
        </is>
      </c>
      <c r="E12" s="12" t="inlineStr">
        <is>
          <t>Annual</t>
        </is>
      </c>
      <c r="F12" s="12" t="inlineStr">
        <is>
          <t>Not mapped</t>
        </is>
      </c>
      <c r="G12" s="12">
        <f>IF(OR(C12="Any",AND(C12="Individual",Profile!$C$6="Individual"),AND(C12="Individual/Fiduciary",OR(Profile!$C$6="Individual",Profile!$C$6="Estate/Trust")),AND(C12="Non-individual",OR(Profile!$C$6="Corporation",Profile!$C$6="Partnership")),AND(C12="Estate/Trust",Profile!$C$6="Estate/Trust")),"In scope","Out of scope")</f>
        <v/>
      </c>
      <c r="H12" s="12">
        <f>IF(Profile!$G$7="Yes","Selected","Not selected")</f>
        <v/>
      </c>
    </row>
    <row r="13" ht="46" customHeight="1">
      <c r="A13" s="15" t="inlineStr">
        <is>
          <t>1702-EX</t>
        </is>
      </c>
      <c r="B13" s="15" t="inlineStr">
        <is>
          <t>Exempt entity annual</t>
        </is>
      </c>
      <c r="C13" s="15" t="inlineStr">
        <is>
          <t>Non-individual</t>
        </is>
      </c>
      <c r="D13" s="15" t="inlineStr">
        <is>
          <t>Qualifying exempt entity with no other taxable income</t>
        </is>
      </c>
      <c r="E13" s="15" t="inlineStr">
        <is>
          <t>Annual</t>
        </is>
      </c>
      <c r="F13" s="15" t="inlineStr">
        <is>
          <t>Not mapped</t>
        </is>
      </c>
      <c r="G13" s="15">
        <f>IF(OR(C13="Any",AND(C13="Individual",Profile!$C$6="Individual"),AND(C13="Individual/Fiduciary",OR(Profile!$C$6="Individual",Profile!$C$6="Estate/Trust")),AND(C13="Non-individual",OR(Profile!$C$6="Corporation",Profile!$C$6="Partnership")),AND(C13="Estate/Trust",Profile!$C$6="Estate/Trust")),"In scope","Out of scope")</f>
        <v/>
      </c>
      <c r="H13" s="15">
        <f>IF(Profile!$G$7="Yes","Selected","Not selected")</f>
        <v/>
      </c>
    </row>
    <row r="14" ht="46" customHeight="1">
      <c r="A14" s="12" t="inlineStr">
        <is>
          <t>1702-MX</t>
        </is>
      </c>
      <c r="B14" s="12" t="inlineStr">
        <is>
          <t>Mixed / preferential corporate annual</t>
        </is>
      </c>
      <c r="C14" s="12" t="inlineStr">
        <is>
          <t>Non-individual</t>
        </is>
      </c>
      <c r="D14" s="12" t="inlineStr">
        <is>
          <t>Multiple / preferential income-tax rates</t>
        </is>
      </c>
      <c r="E14" s="12" t="inlineStr">
        <is>
          <t>Annual</t>
        </is>
      </c>
      <c r="F14" s="12" t="inlineStr">
        <is>
          <t>Not mapped</t>
        </is>
      </c>
      <c r="G14" s="12">
        <f>IF(OR(C14="Any",AND(C14="Individual",Profile!$C$6="Individual"),AND(C14="Individual/Fiduciary",OR(Profile!$C$6="Individual",Profile!$C$6="Estate/Trust")),AND(C14="Non-individual",OR(Profile!$C$6="Corporation",Profile!$C$6="Partnership")),AND(C14="Estate/Trust",Profile!$C$6="Estate/Trust")),"In scope","Out of scope")</f>
        <v/>
      </c>
      <c r="H14" s="12">
        <f>IF(Profile!$G$7="Yes","Selected","Not selected")</f>
        <v/>
      </c>
    </row>
    <row r="15" ht="46" customHeight="1">
      <c r="A15" s="15" t="inlineStr">
        <is>
          <t>2551Q</t>
        </is>
      </c>
      <c r="B15" s="15" t="inlineStr">
        <is>
          <t>Quarterly percentage tax</t>
        </is>
      </c>
      <c r="C15" s="15" t="inlineStr">
        <is>
          <t>Any</t>
        </is>
      </c>
      <c r="D15" s="15" t="inlineStr">
        <is>
          <t>Taxable business or sector; specific ATCs apply</t>
        </is>
      </c>
      <c r="E15" s="15" t="inlineStr">
        <is>
          <t>Quarterly</t>
        </is>
      </c>
      <c r="F15" s="15" t="inlineStr">
        <is>
          <t>Field dictionary</t>
        </is>
      </c>
      <c r="G15" s="15">
        <f>IF(OR(C15="Any",AND(C15="Individual",Profile!$C$6="Individual"),AND(C15="Individual/Fiduciary",OR(Profile!$C$6="Individual",Profile!$C$6="Estate/Trust")),AND(C15="Non-individual",OR(Profile!$C$6="Corporation",Profile!$C$6="Partnership")),AND(C15="Estate/Trust",Profile!$C$6="Estate/Trust")),"In scope","Out of scope")</f>
        <v/>
      </c>
      <c r="H15" s="15">
        <f>IF(Profile!$C$7="Yes","Selected","Not selected")</f>
        <v/>
      </c>
    </row>
    <row r="16" ht="46" customHeight="1">
      <c r="A16" s="12" t="inlineStr">
        <is>
          <t>2550Q</t>
        </is>
      </c>
      <c r="B16" s="12" t="inlineStr">
        <is>
          <t>Quarterly VAT</t>
        </is>
      </c>
      <c r="C16" s="12" t="inlineStr">
        <is>
          <t>Any</t>
        </is>
      </c>
      <c r="D16" s="12" t="inlineStr">
        <is>
          <t>VAT registration or applicable VAT liability</t>
        </is>
      </c>
      <c r="E16" s="12" t="inlineStr">
        <is>
          <t>Quarterly</t>
        </is>
      </c>
      <c r="F16" s="12" t="inlineStr">
        <is>
          <t>Not mapped</t>
        </is>
      </c>
      <c r="G16" s="12">
        <f>IF(OR(C16="Any",AND(C16="Individual",Profile!$C$6="Individual"),AND(C16="Individual/Fiduciary",OR(Profile!$C$6="Individual",Profile!$C$6="Estate/Trust")),AND(C16="Non-individual",OR(Profile!$C$6="Corporation",Profile!$C$6="Partnership")),AND(C16="Estate/Trust",Profile!$C$6="Estate/Trust")),"In scope","Out of scope")</f>
        <v/>
      </c>
      <c r="H16" s="12">
        <f>IF(Profile!$G$8="Yes","Selected","Not selected")</f>
        <v/>
      </c>
    </row>
    <row r="17" ht="46" customHeight="1">
      <c r="A17" s="15" t="inlineStr">
        <is>
          <t>1601-C</t>
        </is>
      </c>
      <c r="B17" s="15" t="inlineStr">
        <is>
          <t>Compensation withholding remittance</t>
        </is>
      </c>
      <c r="C17" s="15" t="inlineStr">
        <is>
          <t>Any</t>
        </is>
      </c>
      <c r="D17" s="15" t="inlineStr">
        <is>
          <t>Employer / withholding agent for compensation</t>
        </is>
      </c>
      <c r="E17" s="15" t="inlineStr">
        <is>
          <t>Monthly</t>
        </is>
      </c>
      <c r="F17" s="15" t="inlineStr">
        <is>
          <t>Field dictionary</t>
        </is>
      </c>
      <c r="G17" s="15">
        <f>IF(OR(C17="Any",AND(C17="Individual",Profile!$C$6="Individual"),AND(C17="Individual/Fiduciary",OR(Profile!$C$6="Individual",Profile!$C$6="Estate/Trust")),AND(C17="Non-individual",OR(Profile!$C$6="Corporation",Profile!$C$6="Partnership")),AND(C17="Estate/Trust",Profile!$C$6="Estate/Trust")),"In scope","Out of scope")</f>
        <v/>
      </c>
      <c r="H17" s="15">
        <f>IF(Profile!$C$8="Yes","Selected","Not selected")</f>
        <v/>
      </c>
    </row>
    <row r="18" ht="46" customHeight="1">
      <c r="A18" s="12" t="inlineStr">
        <is>
          <t>1604-C</t>
        </is>
      </c>
      <c r="B18" s="12" t="inlineStr">
        <is>
          <t>Annual compensation information</t>
        </is>
      </c>
      <c r="C18" s="12" t="inlineStr">
        <is>
          <t>Any</t>
        </is>
      </c>
      <c r="D18" s="12" t="inlineStr">
        <is>
          <t>Employer filing annual compensation data</t>
        </is>
      </c>
      <c r="E18" s="12" t="inlineStr">
        <is>
          <t>Annual</t>
        </is>
      </c>
      <c r="F18" s="12" t="inlineStr">
        <is>
          <t>Not mapped</t>
        </is>
      </c>
      <c r="G18" s="12">
        <f>IF(OR(C18="Any",AND(C18="Individual",Profile!$C$6="Individual"),AND(C18="Individual/Fiduciary",OR(Profile!$C$6="Individual",Profile!$C$6="Estate/Trust")),AND(C18="Non-individual",OR(Profile!$C$6="Corporation",Profile!$C$6="Partnership")),AND(C18="Estate/Trust",Profile!$C$6="Estate/Trust")),"In scope","Out of scope")</f>
        <v/>
      </c>
      <c r="H18" s="12">
        <f>"Not selected here"</f>
        <v/>
      </c>
    </row>
    <row r="19" ht="46" customHeight="1">
      <c r="A19" s="15" t="inlineStr">
        <is>
          <t>2316</t>
        </is>
      </c>
      <c r="B19" s="15" t="inlineStr">
        <is>
          <t>Compensation certificate</t>
        </is>
      </c>
      <c r="C19" s="15" t="inlineStr">
        <is>
          <t>Any</t>
        </is>
      </c>
      <c r="D19" s="15" t="inlineStr">
        <is>
          <t>Employer issues; employee uses own certificate</t>
        </is>
      </c>
      <c r="E19" s="15" t="inlineStr">
        <is>
          <t>Annual / event</t>
        </is>
      </c>
      <c r="F19" s="15" t="inlineStr">
        <is>
          <t>Not mapped</t>
        </is>
      </c>
      <c r="G19" s="15">
        <f>IF(OR(C19="Any",AND(C19="Individual",Profile!$C$6="Individual"),AND(C19="Individual/Fiduciary",OR(Profile!$C$6="Individual",Profile!$C$6="Estate/Trust")),AND(C19="Non-individual",OR(Profile!$C$6="Corporation",Profile!$C$6="Partnership")),AND(C19="Estate/Trust",Profile!$C$6="Estate/Trust")),"In scope","Out of scope")</f>
        <v/>
      </c>
      <c r="H19" s="15">
        <f>"Not selected here"</f>
        <v/>
      </c>
    </row>
    <row r="20" ht="46" customHeight="1">
      <c r="A20" s="12" t="inlineStr">
        <is>
          <t>0619-E</t>
        </is>
      </c>
      <c r="B20" s="12" t="inlineStr">
        <is>
          <t>Expanded withholding remittance</t>
        </is>
      </c>
      <c r="C20" s="12" t="inlineStr">
        <is>
          <t>Any</t>
        </is>
      </c>
      <c r="D20" s="12" t="inlineStr">
        <is>
          <t>Withholding agent, first two months of quarter</t>
        </is>
      </c>
      <c r="E20" s="12" t="inlineStr">
        <is>
          <t>Monthly</t>
        </is>
      </c>
      <c r="F20" s="12" t="inlineStr">
        <is>
          <t>Not mapped</t>
        </is>
      </c>
      <c r="G20" s="12">
        <f>IF(OR(C20="Any",AND(C20="Individual",Profile!$C$6="Individual"),AND(C20="Individual/Fiduciary",OR(Profile!$C$6="Individual",Profile!$C$6="Estate/Trust")),AND(C20="Non-individual",OR(Profile!$C$6="Corporation",Profile!$C$6="Partnership")),AND(C20="Estate/Trust",Profile!$C$6="Estate/Trust")),"In scope","Out of scope")</f>
        <v/>
      </c>
      <c r="H20" s="12">
        <f>IF(Profile!$G$9="Yes","Selected","Not selected")</f>
        <v/>
      </c>
    </row>
    <row r="21" ht="46" customHeight="1">
      <c r="A21" s="15" t="inlineStr">
        <is>
          <t>1601-EQ</t>
        </is>
      </c>
      <c r="B21" s="15" t="inlineStr">
        <is>
          <t>Expanded withholding return</t>
        </is>
      </c>
      <c r="C21" s="15" t="inlineStr">
        <is>
          <t>Any</t>
        </is>
      </c>
      <c r="D21" s="15" t="inlineStr">
        <is>
          <t>Withholding agent for applicable payments</t>
        </is>
      </c>
      <c r="E21" s="15" t="inlineStr">
        <is>
          <t>Quarterly</t>
        </is>
      </c>
      <c r="F21" s="15" t="inlineStr">
        <is>
          <t>Not mapped</t>
        </is>
      </c>
      <c r="G21" s="15">
        <f>IF(OR(C21="Any",AND(C21="Individual",Profile!$C$6="Individual"),AND(C21="Individual/Fiduciary",OR(Profile!$C$6="Individual",Profile!$C$6="Estate/Trust")),AND(C21="Non-individual",OR(Profile!$C$6="Corporation",Profile!$C$6="Partnership")),AND(C21="Estate/Trust",Profile!$C$6="Estate/Trust")),"In scope","Out of scope")</f>
        <v/>
      </c>
      <c r="H21" s="15">
        <f>IF(Profile!$G$9="Yes","Selected","Not selected")</f>
        <v/>
      </c>
    </row>
    <row r="22" ht="46" customHeight="1">
      <c r="A22" s="12" t="inlineStr">
        <is>
          <t>1604-E</t>
        </is>
      </c>
      <c r="B22" s="12" t="inlineStr">
        <is>
          <t>Annual expanded withholding information</t>
        </is>
      </c>
      <c r="C22" s="12" t="inlineStr">
        <is>
          <t>Any</t>
        </is>
      </c>
      <c r="D22" s="12" t="inlineStr">
        <is>
          <t>Withholding agent, as applicable</t>
        </is>
      </c>
      <c r="E22" s="12" t="inlineStr">
        <is>
          <t>Annual</t>
        </is>
      </c>
      <c r="F22" s="12" t="inlineStr">
        <is>
          <t>Not mapped</t>
        </is>
      </c>
      <c r="G22" s="12">
        <f>IF(OR(C22="Any",AND(C22="Individual",Profile!$C$6="Individual"),AND(C22="Individual/Fiduciary",OR(Profile!$C$6="Individual",Profile!$C$6="Estate/Trust")),AND(C22="Non-individual",OR(Profile!$C$6="Corporation",Profile!$C$6="Partnership")),AND(C22="Estate/Trust",Profile!$C$6="Estate/Trust")),"In scope","Out of scope")</f>
        <v/>
      </c>
      <c r="H22" s="12">
        <f>"Not selected here"</f>
        <v/>
      </c>
    </row>
    <row r="23" ht="46" customHeight="1">
      <c r="A23" s="15" t="inlineStr">
        <is>
          <t>2307</t>
        </is>
      </c>
      <c r="B23" s="15" t="inlineStr">
        <is>
          <t>Creditable withholding certificate</t>
        </is>
      </c>
      <c r="C23" s="15" t="inlineStr">
        <is>
          <t>Any</t>
        </is>
      </c>
      <c r="D23" s="15" t="inlineStr">
        <is>
          <t>Issued or received depending on role and tax type</t>
        </is>
      </c>
      <c r="E23" s="15" t="inlineStr">
        <is>
          <t>Quarterly / event</t>
        </is>
      </c>
      <c r="F23" s="15" t="inlineStr">
        <is>
          <t>Not mapped</t>
        </is>
      </c>
      <c r="G23" s="15">
        <f>IF(OR(C23="Any",AND(C23="Individual",Profile!$C$6="Individual"),AND(C23="Individual/Fiduciary",OR(Profile!$C$6="Individual",Profile!$C$6="Estate/Trust")),AND(C23="Non-individual",OR(Profile!$C$6="Corporation",Profile!$C$6="Partnership")),AND(C23="Estate/Trust",Profile!$C$6="Estate/Trust")),"In scope","Out of scope")</f>
        <v/>
      </c>
      <c r="H23" s="15">
        <f>"Not selected here"</f>
        <v/>
      </c>
    </row>
    <row r="24" ht="46" customHeight="1">
      <c r="A24" s="12" t="inlineStr">
        <is>
          <t>QAP</t>
        </is>
      </c>
      <c r="B24" s="12" t="inlineStr">
        <is>
          <t>Quarterly alphalist of payees</t>
        </is>
      </c>
      <c r="C24" s="12" t="inlineStr">
        <is>
          <t>Any</t>
        </is>
      </c>
      <c r="D24" s="12" t="inlineStr">
        <is>
          <t>Withholding agent / applicable return attachment</t>
        </is>
      </c>
      <c r="E24" s="12" t="inlineStr">
        <is>
          <t>Quarterly</t>
        </is>
      </c>
      <c r="F24" s="12" t="inlineStr">
        <is>
          <t>Not mapped</t>
        </is>
      </c>
      <c r="G24" s="12">
        <f>IF(OR(C24="Any",AND(C24="Individual",Profile!$C$6="Individual"),AND(C24="Individual/Fiduciary",OR(Profile!$C$6="Individual",Profile!$C$6="Estate/Trust")),AND(C24="Non-individual",OR(Profile!$C$6="Corporation",Profile!$C$6="Partnership")),AND(C24="Estate/Trust",Profile!$C$6="Estate/Trust")),"In scope","Out of scope")</f>
        <v/>
      </c>
      <c r="H24" s="12">
        <f>"Not selected here"</f>
        <v/>
      </c>
    </row>
    <row r="25" ht="46" customHeight="1">
      <c r="A25" s="15" t="inlineStr">
        <is>
          <t>SAWT</t>
        </is>
      </c>
      <c r="B25" s="15" t="inlineStr">
        <is>
          <t>Summary list of withholding agents</t>
        </is>
      </c>
      <c r="C25" s="15" t="inlineStr">
        <is>
          <t>Any</t>
        </is>
      </c>
      <c r="D25" s="15" t="inlineStr">
        <is>
          <t>Payee claiming tax credits when required</t>
        </is>
      </c>
      <c r="E25" s="15" t="inlineStr">
        <is>
          <t>With return</t>
        </is>
      </c>
      <c r="F25" s="15" t="inlineStr">
        <is>
          <t>Not mapped</t>
        </is>
      </c>
      <c r="G25" s="15">
        <f>IF(OR(C25="Any",AND(C25="Individual",Profile!$C$6="Individual"),AND(C25="Individual/Fiduciary",OR(Profile!$C$6="Individual",Profile!$C$6="Estate/Trust")),AND(C25="Non-individual",OR(Profile!$C$6="Corporation",Profile!$C$6="Partnership")),AND(C25="Estate/Trust",Profile!$C$6="Estate/Trust")),"In scope","Out of scope")</f>
        <v/>
      </c>
      <c r="H25" s="15">
        <f>"Not selected here"</f>
        <v/>
      </c>
    </row>
    <row r="26" ht="46" customHeight="1">
      <c r="A26" s="12" t="inlineStr">
        <is>
          <t>0619-F / 1601-FQ</t>
        </is>
      </c>
      <c r="B26" s="12" t="inlineStr">
        <is>
          <t>Final withholding remittances</t>
        </is>
      </c>
      <c r="C26" s="12" t="inlineStr">
        <is>
          <t>Any</t>
        </is>
      </c>
      <c r="D26" s="12" t="inlineStr">
        <is>
          <t>Withholding agent for applicable final-tax payments</t>
        </is>
      </c>
      <c r="E26" s="12" t="inlineStr">
        <is>
          <t>Monthly / quarterly</t>
        </is>
      </c>
      <c r="F26" s="12" t="inlineStr">
        <is>
          <t>Not mapped</t>
        </is>
      </c>
      <c r="G26" s="12">
        <f>IF(OR(C26="Any",AND(C26="Individual",Profile!$C$6="Individual"),AND(C26="Individual/Fiduciary",OR(Profile!$C$6="Individual",Profile!$C$6="Estate/Trust")),AND(C26="Non-individual",OR(Profile!$C$6="Corporation",Profile!$C$6="Partnership")),AND(C26="Estate/Trust",Profile!$C$6="Estate/Trust")),"In scope","Out of scope")</f>
        <v/>
      </c>
      <c r="H26" s="12">
        <f>"Not selected here"</f>
        <v/>
      </c>
    </row>
    <row r="27" ht="46" customHeight="1">
      <c r="A27" s="15" t="inlineStr">
        <is>
          <t>1706</t>
        </is>
      </c>
      <c r="B27" s="15" t="inlineStr">
        <is>
          <t>Real-property capital gains return</t>
        </is>
      </c>
      <c r="C27" s="15" t="inlineStr">
        <is>
          <t>Any</t>
        </is>
      </c>
      <c r="D27" s="15" t="inlineStr">
        <is>
          <t>Qualifying capital asset disposition</t>
        </is>
      </c>
      <c r="E27" s="15" t="inlineStr">
        <is>
          <t>Event</t>
        </is>
      </c>
      <c r="F27" s="15" t="inlineStr">
        <is>
          <t>Not mapped</t>
        </is>
      </c>
      <c r="G27" s="15">
        <f>IF(OR(C27="Any",AND(C27="Individual",Profile!$C$6="Individual"),AND(C27="Individual/Fiduciary",OR(Profile!$C$6="Individual",Profile!$C$6="Estate/Trust")),AND(C27="Non-individual",OR(Profile!$C$6="Corporation",Profile!$C$6="Partnership")),AND(C27="Estate/Trust",Profile!$C$6="Estate/Trust")),"In scope","Out of scope")</f>
        <v/>
      </c>
      <c r="H27" s="15">
        <f>"Not selected here"</f>
        <v/>
      </c>
    </row>
    <row r="28" ht="46" customHeight="1">
      <c r="A28" s="12" t="inlineStr">
        <is>
          <t>1707 / 1707-A</t>
        </is>
      </c>
      <c r="B28" s="12" t="inlineStr">
        <is>
          <t>Unlisted share capital gains</t>
        </is>
      </c>
      <c r="C28" s="12" t="inlineStr">
        <is>
          <t>Any</t>
        </is>
      </c>
      <c r="D28" s="12" t="inlineStr">
        <is>
          <t>Qualifying share disposition and annual report</t>
        </is>
      </c>
      <c r="E28" s="12" t="inlineStr">
        <is>
          <t>Event / annual</t>
        </is>
      </c>
      <c r="F28" s="12" t="inlineStr">
        <is>
          <t>Not mapped</t>
        </is>
      </c>
      <c r="G28" s="12">
        <f>IF(OR(C28="Any",AND(C28="Individual",Profile!$C$6="Individual"),AND(C28="Individual/Fiduciary",OR(Profile!$C$6="Individual",Profile!$C$6="Estate/Trust")),AND(C28="Non-individual",OR(Profile!$C$6="Corporation",Profile!$C$6="Partnership")),AND(C28="Estate/Trust",Profile!$C$6="Estate/Trust")),"In scope","Out of scope")</f>
        <v/>
      </c>
      <c r="H28" s="12">
        <f>"Not selected here"</f>
        <v/>
      </c>
    </row>
    <row r="29" ht="46" customHeight="1">
      <c r="A29" s="15" t="inlineStr">
        <is>
          <t>1800</t>
        </is>
      </c>
      <c r="B29" s="15" t="inlineStr">
        <is>
          <t>Donor tax</t>
        </is>
      </c>
      <c r="C29" s="15" t="inlineStr">
        <is>
          <t>Any</t>
        </is>
      </c>
      <c r="D29" s="15" t="inlineStr">
        <is>
          <t>Covered gift</t>
        </is>
      </c>
      <c r="E29" s="15" t="inlineStr">
        <is>
          <t>Event</t>
        </is>
      </c>
      <c r="F29" s="15" t="inlineStr">
        <is>
          <t>Not mapped</t>
        </is>
      </c>
      <c r="G29" s="15">
        <f>IF(OR(C29="Any",AND(C29="Individual",Profile!$C$6="Individual"),AND(C29="Individual/Fiduciary",OR(Profile!$C$6="Individual",Profile!$C$6="Estate/Trust")),AND(C29="Non-individual",OR(Profile!$C$6="Corporation",Profile!$C$6="Partnership")),AND(C29="Estate/Trust",Profile!$C$6="Estate/Trust")),"In scope","Out of scope")</f>
        <v/>
      </c>
      <c r="H29" s="15">
        <f>"Not selected here"</f>
        <v/>
      </c>
    </row>
    <row r="30" ht="46" customHeight="1">
      <c r="A30" s="12" t="inlineStr">
        <is>
          <t>1801</t>
        </is>
      </c>
      <c r="B30" s="12" t="inlineStr">
        <is>
          <t>Estate tax</t>
        </is>
      </c>
      <c r="C30" s="12" t="inlineStr">
        <is>
          <t>Estate/Trust</t>
        </is>
      </c>
      <c r="D30" s="12" t="inlineStr">
        <is>
          <t>Covered estate transfer</t>
        </is>
      </c>
      <c r="E30" s="12" t="inlineStr">
        <is>
          <t>Event</t>
        </is>
      </c>
      <c r="F30" s="12" t="inlineStr">
        <is>
          <t>Not mapped</t>
        </is>
      </c>
      <c r="G30" s="12">
        <f>IF(OR(C30="Any",AND(C30="Individual",Profile!$C$6="Individual"),AND(C30="Individual/Fiduciary",OR(Profile!$C$6="Individual",Profile!$C$6="Estate/Trust")),AND(C30="Non-individual",OR(Profile!$C$6="Corporation",Profile!$C$6="Partnership")),AND(C30="Estate/Trust",Profile!$C$6="Estate/Trust")),"In scope","Out of scope")</f>
        <v/>
      </c>
      <c r="H30" s="12">
        <f>"Not selected here"</f>
        <v/>
      </c>
    </row>
    <row r="31" ht="46" customHeight="1">
      <c r="A31" s="15" t="inlineStr">
        <is>
          <t>2000 / 2000-OT</t>
        </is>
      </c>
      <c r="B31" s="15" t="inlineStr">
        <is>
          <t>Documentary stamp tax</t>
        </is>
      </c>
      <c r="C31" s="15" t="inlineStr">
        <is>
          <t>Any</t>
        </is>
      </c>
      <c r="D31" s="15" t="inlineStr">
        <is>
          <t>Taxable document / transaction</t>
        </is>
      </c>
      <c r="E31" s="15" t="inlineStr">
        <is>
          <t>Event / periodic</t>
        </is>
      </c>
      <c r="F31" s="15" t="inlineStr">
        <is>
          <t>Not mapped</t>
        </is>
      </c>
      <c r="G31" s="15">
        <f>IF(OR(C31="Any",AND(C31="Individual",Profile!$C$6="Individual"),AND(C31="Individual/Fiduciary",OR(Profile!$C$6="Individual",Profile!$C$6="Estate/Trust")),AND(C31="Non-individual",OR(Profile!$C$6="Corporation",Profile!$C$6="Partnership")),AND(C31="Estate/Trust",Profile!$C$6="Estate/Trust")),"In scope","Out of scope")</f>
        <v/>
      </c>
      <c r="H31" s="15">
        <f>"Not selected here"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6" customWidth="1" min="2" max="2"/>
    <col width="82" customWidth="1" min="3" max="3"/>
    <col width="100" customWidth="1" min="4" max="4"/>
  </cols>
  <sheetData>
    <row r="1" ht="24" customHeight="1">
      <c r="A1" s="1" t="inlineStr">
        <is>
          <t>Build notes and sources</t>
        </is>
      </c>
    </row>
    <row r="2" ht="24" customHeight="1">
      <c r="A2" s="2" t="inlineStr">
        <is>
          <t>Repository snapshot 1662ca37404ccc6c270ad48888eda3505ec45165; BIR research as of 28 Oct 2026.</t>
        </is>
      </c>
    </row>
    <row r="3" ht="24" customHeight="1">
      <c r="A3" s="3" t="inlineStr">
        <is>
          <t>Source URLs are primary BIR forms or pinned repository files. Review with a Philippine tax professional before production use.</t>
        </is>
      </c>
    </row>
    <row r="5" ht="32" customHeight="1">
      <c r="A5" s="14" t="inlineStr">
        <is>
          <t>Type / ID</t>
        </is>
      </c>
      <c r="B5" s="14" t="inlineStr">
        <is>
          <t>Topic / source</t>
        </is>
      </c>
      <c r="C5" s="14" t="inlineStr">
        <is>
          <t>Implementation or source note</t>
        </is>
      </c>
      <c r="D5" s="14" t="inlineStr">
        <is>
          <t>Reference / URL</t>
        </is>
      </c>
    </row>
    <row r="6" ht="46" customHeight="1">
      <c r="A6" s="12" t="inlineStr">
        <is>
          <t>Architecture</t>
        </is>
      </c>
      <c r="B6" s="12" t="inlineStr">
        <is>
          <t>COR and obligations</t>
        </is>
      </c>
      <c r="C6" s="12" t="inlineStr">
        <is>
          <t>Store the COR tax types and effective dates. Resolve actual forms from entity, registration, activity, election, time period and one-time events.</t>
        </is>
      </c>
      <c r="D6" s="12" t="inlineStr">
        <is>
          <t>Design rule</t>
        </is>
      </c>
    </row>
    <row r="7" ht="46" customHeight="1">
      <c r="A7" s="15" t="inlineStr">
        <is>
          <t>Architecture</t>
        </is>
      </c>
      <c r="B7" s="15" t="inlineStr">
        <is>
          <t>Separate accounting from tax</t>
        </is>
      </c>
      <c r="C7" s="15" t="inlineStr">
        <is>
          <t>Account answers what the transaction is. VAT/PT, ATC, deductibility, withholding, party, person, branch, time and evidence are separate attributes.</t>
        </is>
      </c>
      <c r="D7" s="15" t="inlineStr">
        <is>
          <t>Design rule</t>
        </is>
      </c>
    </row>
    <row r="8" ht="46" customHeight="1">
      <c r="A8" s="12" t="inlineStr">
        <is>
          <t>Architecture</t>
        </is>
      </c>
      <c r="B8" s="12" t="inlineStr">
        <is>
          <t>Many-to-many mappings</t>
        </is>
      </c>
      <c r="C8" s="12" t="inlineStr">
        <is>
          <t>A single posted event can feed multiple fields; fields aggregate multiple events. Store rule version, source, condition, sign, period, rounding and evidence.</t>
        </is>
      </c>
      <c r="D8" s="12" t="inlineStr">
        <is>
          <t>Design rule</t>
        </is>
      </c>
    </row>
    <row r="9" ht="46" customHeight="1">
      <c r="A9" s="15" t="inlineStr">
        <is>
          <t>Architecture</t>
        </is>
      </c>
      <c r="B9" s="15" t="inlineStr">
        <is>
          <t>Lineage</t>
        </is>
      </c>
      <c r="C9" s="15" t="inlineStr">
        <is>
          <t>For each derived field keep the form version, exact item, person A/B, period, tax type, source IDs, calculation, rule version and snapshot.</t>
        </is>
      </c>
      <c r="D9" s="15" t="inlineStr">
        <is>
          <t>Design rule</t>
        </is>
      </c>
    </row>
    <row r="10" ht="46" customHeight="1">
      <c r="A10" s="12" t="inlineStr">
        <is>
          <t>Architecture</t>
        </is>
      </c>
      <c r="B10" s="12" t="inlineStr">
        <is>
          <t>Keep tax controls distinct</t>
        </is>
      </c>
      <c r="C10" s="12" t="inlineStr">
        <is>
          <t>Income-tax creditable withholding, percentage-tax withholding, supplier EWT, employee WTC and VAT withholding are distinct tax types and roles.</t>
        </is>
      </c>
      <c r="D10" s="12" t="inlineStr">
        <is>
          <t>Design rule</t>
        </is>
      </c>
    </row>
    <row r="11" ht="46" customHeight="1">
      <c r="A11" s="15" t="inlineStr">
        <is>
          <t>Architecture</t>
        </is>
      </c>
      <c r="B11" s="15" t="inlineStr">
        <is>
          <t>Preserve existing PH keys</t>
        </is>
      </c>
      <c r="C11" s="15" t="inlineStr">
        <is>
          <t>Use the frozen ph-chart.ts keys / numbers and philippines_smb preset. Proposed keys in this workbook are not implemented or assigned numbers.</t>
        </is>
      </c>
      <c r="D11" s="15" t="inlineStr">
        <is>
          <t>Repo R1 / R2</t>
        </is>
      </c>
    </row>
    <row r="12" ht="46" customHeight="1">
      <c r="A12" s="12" t="inlineStr">
        <is>
          <t>Architecture</t>
        </is>
      </c>
      <c r="B12" s="12" t="inlineStr">
        <is>
          <t>Do not add global tax mapping blindly</t>
        </is>
      </c>
      <c r="C12" s="12" t="inlineStr">
        <is>
          <t>The existing category_mappings registry has global completeness requirements. Use the existing PH resolver; design a versioned field mapping as a separate tax layer.</t>
        </is>
      </c>
      <c r="D12" s="12" t="inlineStr">
        <is>
          <t>Repo R3</t>
        </is>
      </c>
    </row>
    <row r="13" ht="46" customHeight="1">
      <c r="A13" s="15" t="inlineStr">
        <is>
          <t>Architecture</t>
        </is>
      </c>
      <c r="B13" s="15" t="inlineStr">
        <is>
          <t>Posted data and corrections</t>
        </is>
      </c>
      <c r="C13" s="15" t="inlineStr">
        <is>
          <t>Derive from posted source events, include reversals / credit notes once, support amended return prior payments, freeze the as-filed snapshot.</t>
        </is>
      </c>
      <c r="D13" s="15" t="inlineStr">
        <is>
          <t>Repo R6</t>
        </is>
      </c>
    </row>
    <row r="14" ht="46" customHeight="1">
      <c r="A14" s="12" t="inlineStr">
        <is>
          <t>Coverage</t>
        </is>
      </c>
      <c r="B14" s="12" t="inlineStr">
        <is>
          <t>Three detailed dictionaries</t>
        </is>
      </c>
      <c r="C14" s="12" t="inlineStr">
        <is>
          <t>2551Q Jan 2018, 1601-C Jan 2018 and 1701-MS Aug 2024 include numbered items and repeated schedule/payment subfields.</t>
        </is>
      </c>
      <c r="D14" s="12" t="inlineStr">
        <is>
          <t>Sources S1–S3</t>
        </is>
      </c>
    </row>
    <row r="15" ht="46" customHeight="1">
      <c r="A15" s="15" t="inlineStr">
        <is>
          <t>Coverage</t>
        </is>
      </c>
      <c r="B15" s="15" t="inlineStr">
        <is>
          <t>Other forms</t>
        </is>
      </c>
      <c r="C15" s="15" t="inlineStr">
        <is>
          <t>The Form catalog is an obligation inventory, not a full field map. 1701Q, corporate returns, VAT and other forms require their own versioned dictionaries.</t>
        </is>
      </c>
      <c r="D15" s="15" t="inlineStr">
        <is>
          <t>Scope</t>
        </is>
      </c>
    </row>
    <row r="16" ht="46" customHeight="1">
      <c r="A16" s="12" t="inlineStr">
        <is>
          <t>Coverage</t>
        </is>
      </c>
      <c r="B16" s="12" t="inlineStr">
        <is>
          <t>1701-MS entity and scope</t>
        </is>
      </c>
      <c r="C16" s="12" t="inlineStr">
        <is>
          <t>The annual return is an alternative for qualifying micro/small individuals. Check special rate, activity, regime and spouse limitations from the applicable form. Annex C (RMC 20-2026) is the TY2025 FAQ ('on filing the 2025 annual income tax return'); TY2026 applicability is UNKNOWN (verify s2 #80) (correction 25).</t>
        </is>
      </c>
      <c r="D16" s="12" t="inlineStr">
        <is>
          <t>Source S3 / S4</t>
        </is>
      </c>
    </row>
    <row r="17" ht="46" customHeight="1">
      <c r="A17" s="15" t="inlineStr">
        <is>
          <t>Coverage</t>
        </is>
      </c>
      <c r="B17" s="15" t="inlineStr">
        <is>
          <t>COR does not choose method</t>
        </is>
      </c>
      <c r="C17" s="15" t="inlineStr">
        <is>
          <t>Do not infer 8%, OSD, itemization, payroll facts or one-time events solely from a form list or COR.</t>
        </is>
      </c>
      <c r="D17" s="15" t="inlineStr">
        <is>
          <t>Source S4 / S5</t>
        </is>
      </c>
    </row>
    <row r="18" ht="46" customHeight="1">
      <c r="A18" s="12" t="inlineStr">
        <is>
          <t>Review finding</t>
        </is>
      </c>
      <c r="B18" s="12" t="inlineStr">
        <is>
          <t>1601-C item 19</t>
        </is>
      </c>
      <c r="C18" s="12" t="inlineStr">
        <is>
          <t>Current compensationFromPayrollLine() aggregates non-taxable components but does not accept employee-share contributions; payroll_lines stores them separately. Verify and map 1601-C item 19 before relying on item 22.</t>
        </is>
      </c>
      <c r="D18" s="12" t="inlineStr">
        <is>
          <t>Repo R4 / R5, S2</t>
        </is>
      </c>
    </row>
    <row r="19" ht="46" customHeight="1">
      <c r="A19" s="15" t="inlineStr">
        <is>
          <t>Review finding</t>
        </is>
      </c>
      <c r="B19" s="15" t="inlineStr">
        <is>
          <t>Payroll exemptions</t>
        </is>
      </c>
      <c r="C19" s="15" t="inlineStr">
        <is>
          <t>Validate taxable vs exempt portions of 13th-month benefits and de minimis by employee and year; the form needs item-level amounts, not only one non-taxable total.</t>
        </is>
      </c>
      <c r="D19" s="15" t="inlineStr">
        <is>
          <t>Repo R4 / R5, S2</t>
        </is>
      </c>
    </row>
    <row r="20" ht="46" customHeight="1">
      <c r="A20" s="12" t="inlineStr">
        <is>
          <t>Review finding</t>
        </is>
      </c>
      <c r="B20" s="12" t="inlineStr">
        <is>
          <t>8% and threshold inputs</t>
        </is>
      </c>
      <c r="C20" s="12" t="inlineStr">
        <is>
          <t>The current regime input exposes grossReceipts, but the 8% eligibility rules also refer to other non-operating income and other restrictions. Add explicit inputs / legal checks. Books omits other non-operating income from the 8% base (percentage-tax.ts:167-191; verify s2 #36). RMO 23-2018 includes it (verify s2 #75) (correction 26).</t>
        </is>
      </c>
      <c r="D20" s="12" t="inlineStr">
        <is>
          <t>Repo R7, S5</t>
        </is>
      </c>
    </row>
    <row r="21" ht="46" customHeight="1">
      <c r="A21" s="15" t="inlineStr">
        <is>
          <t>Review finding</t>
        </is>
      </c>
      <c r="B21" s="15" t="inlineStr">
        <is>
          <t>8% transition + 2551Q</t>
        </is>
      </c>
      <c r="C21" s="15" t="inlineStr">
        <is>
          <t>The current 2551Q helper blocks an 8% election generically. Review threshold-breach transition periods and other percentage-tax ATCs before using this as a universal rule. CONFLICT (CONFIRMED): Books blocks 2551Q in an 8% year (percentage-tax.ts:354-358; deadlines.ts:122); buwiz-oss requires NIL PT010 rows (form_2551q.rs:2217-2226); RMO 23-2018 says an 8% elector does not file 2551Q (verify s2 #73). RR 8-2018 full text not read: UNCONFIRMED (decision D5) (correction 24).</t>
        </is>
      </c>
      <c r="D21" s="15" t="inlineStr">
        <is>
          <t>Repo R7, S5</t>
        </is>
      </c>
    </row>
    <row r="22" ht="46" customHeight="1">
      <c r="A22" s="12" t="inlineStr">
        <is>
          <t>Review finding</t>
        </is>
      </c>
      <c r="B22" s="12" t="inlineStr">
        <is>
          <t>1701-MS implementation</t>
        </is>
      </c>
      <c r="C22" s="12" t="inlineStr">
        <is>
          <t>The current ComputedReturnForm type does not list 1701-MS. The dictionary is a proposed extension, not a claim the current app already emits the return. Books ComputedReturnForm (tax-stage-remainder.ts:21) does not list 1701-MS (verify s2 #34). buwiz-oss carries the 1701-MS schema and engine; the schema bytes are identical (verify s3) (correction 27).</t>
        </is>
      </c>
      <c r="D22" s="12" t="inlineStr">
        <is>
          <t>Repo R8</t>
        </is>
      </c>
    </row>
    <row r="23" ht="46" customHeight="1">
      <c r="A23" s="15" t="inlineStr">
        <is>
          <t>Rounding</t>
        </is>
      </c>
      <c r="B23" s="15" t="inlineStr">
        <is>
          <t>1701-MS</t>
        </is>
      </c>
      <c r="C23" s="15" t="inlineStr">
        <is>
          <t>The printed form instructs whole-peso entries: 49 centavos or less down; 50 or more up. Keep full precision internally and apply the form’s field-level rules.</t>
        </is>
      </c>
      <c r="D23" s="15" t="inlineStr">
        <is>
          <t>Source S3</t>
        </is>
      </c>
    </row>
    <row r="24" ht="46" customHeight="1">
      <c r="A24" s="12" t="inlineStr">
        <is>
          <t>Rounding</t>
        </is>
      </c>
      <c r="B24" s="12" t="inlineStr">
        <is>
          <t>2551Q / 1601-C</t>
        </is>
      </c>
      <c r="C24" s="12" t="inlineStr">
        <is>
          <t>Retain decimal pesos as required by the specific form version; apply versioned official rules and reconcile before export.</t>
        </is>
      </c>
      <c r="D24" s="12" t="inlineStr">
        <is>
          <t>Sources S1 / S2</t>
        </is>
      </c>
    </row>
    <row r="25" ht="46" customHeight="1">
      <c r="A25" s="15" t="inlineStr">
        <is>
          <t>Current rule</t>
        </is>
      </c>
      <c r="B25" s="15" t="inlineStr">
        <is>
          <t>Invoice and creditable withholding</t>
        </is>
      </c>
      <c r="C25" s="15" t="inlineStr">
        <is>
          <t>RR 6-2026 / RMC 112-2026 add applicable CWT presentation to invoices. An invoice entry does not replace the 2307 supporting the credit.</t>
        </is>
      </c>
      <c r="D25" s="15" t="inlineStr">
        <is>
          <t>Source S6</t>
        </is>
      </c>
    </row>
    <row r="26" ht="46" customHeight="1">
      <c r="A26" s="12" t="inlineStr">
        <is>
          <t>Reconciliation</t>
        </is>
      </c>
      <c r="B26" s="12" t="inlineStr">
        <is>
          <t>Payroll</t>
        </is>
      </c>
      <c r="C26" s="12" t="inlineStr">
        <is>
          <t>Employee gross and exemption components → 1601-C; employee tax detail ↔ posted withholding control movement, excluding unrelated settlement movement.</t>
        </is>
      </c>
      <c r="D26" s="12" t="inlineStr">
        <is>
          <t>Repo R4 / S2</t>
        </is>
      </c>
    </row>
    <row r="27" ht="46" customHeight="1">
      <c r="A27" s="15" t="inlineStr">
        <is>
          <t>Reconciliation</t>
        </is>
      </c>
      <c r="B27" s="15" t="inlineStr">
        <is>
          <t>Sales</t>
        </is>
      </c>
      <c r="C27" s="15" t="inlineStr">
        <is>
          <t>Sales ledger / invoices ↔ ATC-specific 2551Q quarter ↔ 1701-MS annual sales. Differences need period, tax-type, exemption or adjustment explanations.</t>
        </is>
      </c>
      <c r="D27" s="15" t="inlineStr">
        <is>
          <t>Sources S1 / S3</t>
        </is>
      </c>
    </row>
    <row r="28" ht="46" customHeight="1">
      <c r="A28" s="12" t="inlineStr">
        <is>
          <t>S1</t>
        </is>
      </c>
      <c r="B28" s="12" t="inlineStr">
        <is>
          <t>BIR 2551Q January 2018 ENCS</t>
        </is>
      </c>
      <c r="C28" s="12" t="inlineStr">
        <is>
          <t>Official blank form and schedule</t>
        </is>
      </c>
      <c r="D28" s="12" t="inlineStr">
        <is>
          <t>https://bir-cdn.bir.gov.ph/local/pdf/2551Q%20Jan%202018%20ENCS%20final%20rev%203_copy.pdf</t>
        </is>
      </c>
    </row>
    <row r="29" ht="46" customHeight="1">
      <c r="A29" s="15" t="inlineStr">
        <is>
          <t>S2</t>
        </is>
      </c>
      <c r="B29" s="15" t="inlineStr">
        <is>
          <t>BIR 1601-C January 2018 ENCS</t>
        </is>
      </c>
      <c r="C29" s="15" t="inlineStr">
        <is>
          <t>Official blank form, computation, schedule</t>
        </is>
      </c>
      <c r="D29" s="15" t="inlineStr">
        <is>
          <t>https://bir-cdn.bir.gov.ph/local/pdf/1601C%20final%20Jan%202018%20with%20DPA.pdf</t>
        </is>
      </c>
    </row>
    <row r="30" ht="46" customHeight="1">
      <c r="A30" s="12" t="inlineStr">
        <is>
          <t>S3</t>
        </is>
      </c>
      <c r="B30" s="12" t="inlineStr">
        <is>
          <t>BIR 1701-MS August 2024</t>
        </is>
      </c>
      <c r="C30" s="12" t="inlineStr">
        <is>
          <t>Official blank form, parts I–VI</t>
        </is>
      </c>
      <c r="D30" s="12" t="inlineStr">
        <is>
          <t>https://bir-cdn.bir.gov.ph/BIR/pdf/1701-MS%20August%202024%20Fillable_01.pdf</t>
        </is>
      </c>
    </row>
    <row r="31" ht="46" customHeight="1">
      <c r="A31" s="15" t="inlineStr">
        <is>
          <t>S4</t>
        </is>
      </c>
      <c r="B31" s="15" t="inlineStr">
        <is>
          <t>RMC 20-2026 Annex C</t>
        </is>
      </c>
      <c r="C31" s="15" t="inlineStr">
        <is>
          <t>1701 / 1701A / 1701-MS alternatives and eligibility</t>
        </is>
      </c>
      <c r="D31" s="15" t="inlineStr">
        <is>
          <t>https://bir-cdn.bir.gov.ph/BIR/pdf/RMC%2020-2026%20Annex%20C%20%283%29.pdf</t>
        </is>
      </c>
    </row>
    <row r="32" ht="46" customHeight="1">
      <c r="A32" s="12" t="inlineStr">
        <is>
          <t>S5</t>
        </is>
      </c>
      <c r="B32" s="12" t="inlineStr">
        <is>
          <t>RR 8-2018</t>
        </is>
      </c>
      <c r="C32" s="12" t="inlineStr">
        <is>
          <t>8% election, threshold, mixed income and transition</t>
        </is>
      </c>
      <c r="D32" s="12" t="inlineStr">
        <is>
          <t>https://bir-cdn.bir.gov.ph/local/pdf/RR%20No.%208-2018.pdf</t>
        </is>
      </c>
    </row>
    <row r="33" ht="46" customHeight="1">
      <c r="A33" s="15" t="inlineStr">
        <is>
          <t>S6</t>
        </is>
      </c>
      <c r="B33" s="15" t="inlineStr">
        <is>
          <t>RMC 112-2026</t>
        </is>
      </c>
      <c r="C33" s="15" t="inlineStr">
        <is>
          <t>Creditable withholding presentation on invoices</t>
        </is>
      </c>
      <c r="D33" s="15" t="inlineStr">
        <is>
          <t>https://bir-cdn.bir.gov.ph/BIR/pdf/RMC%20No.%20112-2026_redacted.pdf</t>
        </is>
      </c>
    </row>
    <row r="34" ht="46" customHeight="1">
      <c r="A34" s="12" t="inlineStr">
        <is>
          <t>S7</t>
        </is>
      </c>
      <c r="B34" s="12" t="inlineStr">
        <is>
          <t>RR 3-2024</t>
        </is>
      </c>
      <c r="C34" s="12" t="inlineStr">
        <is>
          <t>EOPT VAT / percentage-tax timing and invoices</t>
        </is>
      </c>
      <c r="D34" s="12" t="inlineStr">
        <is>
          <t>https://bir-cdn.bir.gov.ph/BIR/pdf/RR%203-2024%20%28final%29.pdf</t>
        </is>
      </c>
    </row>
    <row r="35" ht="46" customHeight="1">
      <c r="A35" s="15" t="inlineStr">
        <is>
          <t>R1</t>
        </is>
      </c>
      <c r="B35" s="15" t="inlineStr">
        <is>
          <t>Buwiz PH chart at pinned commit</t>
        </is>
      </c>
      <c r="C35" s="15" t="inlineStr">
        <is>
          <t>Frozen PH keys and account numbers</t>
        </is>
      </c>
      <c r="D35" s="15" t="inlineStr">
        <is>
          <t>https://github.com/hexuria/buwiz-books/blob/1662ca37404ccc6c270ad48888eda3505ec45165/src/lib/tax/ph-chart.ts</t>
        </is>
      </c>
    </row>
    <row r="36" ht="46" customHeight="1">
      <c r="A36" s="12" t="inlineStr">
        <is>
          <t>R2</t>
        </is>
      </c>
      <c r="B36" s="12" t="inlineStr">
        <is>
          <t>Buwiz PH preset at pinned commit</t>
        </is>
      </c>
      <c r="C36" s="12" t="inlineStr">
        <is>
          <t>Existing base + PH preset</t>
        </is>
      </c>
      <c r="D36" s="12" t="inlineStr">
        <is>
          <t>https://github.com/hexuria/buwiz-books/blob/1662ca37404ccc6c270ad48888eda3505ec45165/src/lib/coa/presets/philippines-smb.ts</t>
        </is>
      </c>
    </row>
    <row r="37" ht="46" customHeight="1">
      <c r="A37" s="15" t="inlineStr">
        <is>
          <t>R3</t>
        </is>
      </c>
      <c r="B37" s="15" t="inlineStr">
        <is>
          <t>Buwiz PH account resolver</t>
        </is>
      </c>
      <c r="C37" s="15" t="inlineStr">
        <is>
          <t>Why PH controls avoid the global category_mappings registry</t>
        </is>
      </c>
      <c r="D37" s="15" t="inlineStr">
        <is>
          <t>https://github.com/hexuria/buwiz-books/blob/1662ca37404ccc6c270ad48888eda3505ec45165/src/lib/tax/ph-account-resolver.ts</t>
        </is>
      </c>
    </row>
    <row r="38" ht="46" customHeight="1">
      <c r="A38" s="12" t="inlineStr">
        <is>
          <t>R4</t>
        </is>
      </c>
      <c r="B38" s="12" t="inlineStr">
        <is>
          <t>Buwiz 1601-C calculation</t>
        </is>
      </c>
      <c r="C38" s="12" t="inlineStr">
        <is>
          <t>Payroll conversion and control-account reconciliation</t>
        </is>
      </c>
      <c r="D38" s="12" t="inlineStr">
        <is>
          <t>https://github.com/hexuria/buwiz-books/blob/1662ca37404ccc6c270ad48888eda3505ec45165/src/lib/tax/form-1601c.ts</t>
        </is>
      </c>
    </row>
    <row r="39" ht="46" customHeight="1">
      <c r="A39" s="15" t="inlineStr">
        <is>
          <t>R5</t>
        </is>
      </c>
      <c r="B39" s="15" t="inlineStr">
        <is>
          <t>Buwiz payroll schema</t>
        </is>
      </c>
      <c r="C39" s="15" t="inlineStr">
        <is>
          <t>Employee payroll component and employee-share data</t>
        </is>
      </c>
      <c r="D39" s="15" t="inlineStr">
        <is>
          <t>https://github.com/hexuria/buwiz-books/blob/1662ca37404ccc6c270ad48888eda3505ec45165/src/db/schema/payroll.ts</t>
        </is>
      </c>
    </row>
    <row r="40" ht="46" customHeight="1">
      <c r="A40" s="12" t="inlineStr">
        <is>
          <t>R6</t>
        </is>
      </c>
      <c r="B40" s="12" t="inlineStr">
        <is>
          <t>Buwiz filing snapshot</t>
        </is>
      </c>
      <c r="C40" s="12" t="inlineStr">
        <is>
          <t>As-filed snapshot and versioning</t>
        </is>
      </c>
      <c r="D40" s="12" t="inlineStr">
        <is>
          <t>https://github.com/hexuria/buwiz-books/blob/1662ca37404ccc6c270ad48888eda3505ec45165/src/lib/tax/filing-snapshot.ts</t>
        </is>
      </c>
    </row>
    <row r="41" ht="46" customHeight="1">
      <c r="A41" s="15" t="inlineStr">
        <is>
          <t>R7</t>
        </is>
      </c>
      <c r="B41" s="15" t="inlineStr">
        <is>
          <t>Buwiz percentage tax helper</t>
        </is>
      </c>
      <c r="C41" s="15" t="inlineStr">
        <is>
          <t>Current 8% / percentage tax input and return guard</t>
        </is>
      </c>
      <c r="D41" s="15" t="inlineStr">
        <is>
          <t>https://github.com/hexuria/buwiz-books/blob/1662ca37404ccc6c270ad48888eda3505ec45165/src/lib/tax/percentage-tax.ts</t>
        </is>
      </c>
    </row>
    <row r="42" ht="46" customHeight="1">
      <c r="A42" s="12" t="inlineStr">
        <is>
          <t>R8</t>
        </is>
      </c>
      <c r="B42" s="12" t="inlineStr">
        <is>
          <t>Buwiz tax-stage schema</t>
        </is>
      </c>
      <c r="C42" s="12" t="inlineStr">
        <is>
          <t>Existing tax-election and computed-return types</t>
        </is>
      </c>
      <c r="D42" s="12" t="inlineStr">
        <is>
          <t>https://github.com/hexuria/buwiz-books/blob/1662ca37404ccc6c270ad48888eda3505ec45165/src/db/schema/tax-stage-remainder.ts</t>
        </is>
      </c>
    </row>
    <row r="43" ht="46" customHeight="1">
      <c r="A43" s="15" t="inlineStr">
        <is>
          <t>R9</t>
        </is>
      </c>
      <c r="B43" s="15" t="inlineStr">
        <is>
          <t>Buwiz base chart</t>
        </is>
      </c>
      <c r="C43" s="15" t="inlineStr">
        <is>
          <t>Existing chart account keys and numbers</t>
        </is>
      </c>
      <c r="D43" s="15" t="inlineStr">
        <is>
          <t>https://github.com/hexuria/buwiz-books/blob/1662ca37404ccc6c270ad48888eda3505ec45165/src/lib/coa/presets/base.ts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4" customWidth="1" min="4" max="4"/>
    <col width="48" customWidth="1" min="5" max="5"/>
    <col width="36" customWidth="1" min="6" max="6"/>
    <col width="26" customWidth="1" min="7" max="7"/>
    <col width="60" customWidth="1" min="8" max="8"/>
  </cols>
  <sheetData>
    <row r="1">
      <c r="A1" s="33" t="inlineStr">
        <is>
          <t>Corrections log: research workbook (applied from research/spreadsheet-corrections.md)</t>
        </is>
      </c>
    </row>
    <row r="2">
      <c r="A2" t="inlineStr">
        <is>
          <t>Corrections are applied from research/spreadsheet-corrections.md (W2, 2026-10-29). Workbook labels: Form-map = Buwiz_Tax_Profiles_Categories_Form_Fields.xlsx; Form-map-2 = Philippine_Bookkeeping_and_BIR_Form_Map.xlsx. Items are numbered as in sheets.md section 6; extra items are numbered 36 onward.</t>
        </is>
      </c>
    </row>
    <row r="4">
      <c r="A4" s="34" t="inlineStr">
        <is>
          <t>#</t>
        </is>
      </c>
      <c r="B4" s="34" t="inlineStr">
        <is>
          <t>Workbook</t>
        </is>
      </c>
      <c r="C4" s="34" t="inlineStr">
        <is>
          <t>Sheet</t>
        </is>
      </c>
      <c r="D4" s="34" t="inlineStr">
        <is>
          <t>Cell(s)</t>
        </is>
      </c>
      <c r="E4" s="34" t="inlineStr">
        <is>
          <t>Correction</t>
        </is>
      </c>
      <c r="F4" s="34" t="inlineStr">
        <is>
          <t>verify.md verdict</t>
        </is>
      </c>
      <c r="G4" s="34" t="inlineStr">
        <is>
          <t>Action</t>
        </is>
      </c>
      <c r="H4" s="34" t="inlineStr">
        <is>
          <t>What changed or why</t>
        </is>
      </c>
    </row>
    <row r="5">
      <c r="A5" s="27" t="n">
        <v>1</v>
      </c>
      <c r="B5" s="27" t="inlineStr">
        <is>
          <t>Form-map</t>
        </is>
      </c>
      <c r="C5" s="27" t="inlineStr">
        <is>
          <t>Worked example</t>
        </is>
      </c>
      <c r="D5" s="27" t="inlineStr">
        <is>
          <t>A12:B12, C12</t>
        </is>
      </c>
      <c r="E5" s="27" t="inlineStr">
        <is>
          <t>Relabel II.24 as II.19 'Tax still payable' (II.14 - II.18). Add II.14 and II.24 rows.</t>
        </is>
      </c>
      <c r="F5" s="27" t="inlineStr">
        <is>
          <t>CONFIRMED (#46)</t>
        </is>
      </c>
      <c r="G5" s="27" t="inlineStr">
        <is>
          <t>APPLIED</t>
        </is>
      </c>
      <c r="H5" s="27" t="inlineStr">
        <is>
          <t>Relabelled A12 to '2551Q II.19'. Added II.14 (row 40) and II.24 (row 41) with formulas.</t>
        </is>
      </c>
    </row>
    <row r="6">
      <c r="A6" s="27" t="n">
        <v>2</v>
      </c>
      <c r="B6" s="27" t="inlineStr">
        <is>
          <t>Form-map</t>
        </is>
      </c>
      <c r="C6" s="27" t="inlineStr">
        <is>
          <t>Worked example</t>
        </is>
      </c>
      <c r="D6" s="27" t="inlineStr">
        <is>
          <t>C11, A11:B11</t>
        </is>
      </c>
      <c r="E6" s="27" t="inlineStr">
        <is>
          <t>II.18 must be II.15 + II.16 + II.17 (value 0 unchanged).</t>
        </is>
      </c>
      <c r="F6" s="27" t="inlineStr">
        <is>
          <t>CONFIRMED (#45)</t>
        </is>
      </c>
      <c r="G6" s="27" t="inlineStr">
        <is>
          <t>APPLIED</t>
        </is>
      </c>
      <c r="H6" s="27" t="inlineStr">
        <is>
          <t>C11 is now '=C10+0+0'. II.16 and II.17 have no rows here and are zero.</t>
        </is>
      </c>
    </row>
    <row r="7">
      <c r="A7" s="27" t="n">
        <v>3</v>
      </c>
      <c r="B7" s="27" t="inlineStr">
        <is>
          <t>Form-map</t>
        </is>
      </c>
      <c r="C7" s="27" t="inlineStr">
        <is>
          <t>Worked example</t>
        </is>
      </c>
      <c r="D7" s="27" t="inlineStr">
        <is>
          <t>A25:B25, C25</t>
        </is>
      </c>
      <c r="E7" s="27" t="inlineStr">
        <is>
          <t>Relabel II.36 as II.31 (II.27 - II.30). Add II.36 = II.31 + II.35.</t>
        </is>
      </c>
      <c r="F7" s="27" t="inlineStr">
        <is>
          <t>CONFIRMED (#48)</t>
        </is>
      </c>
      <c r="G7" s="27" t="inlineStr">
        <is>
          <t>APPLIED</t>
        </is>
      </c>
      <c r="H7" s="27" t="inlineStr">
        <is>
          <t>A25 = '1601-C II.31'. II.36 added as row 42 (=C25+0; II.35 is zero).</t>
        </is>
      </c>
    </row>
    <row r="8">
      <c r="A8" s="27" t="n">
        <v>4</v>
      </c>
      <c r="B8" s="27" t="inlineStr">
        <is>
          <t>Form-map</t>
        </is>
      </c>
      <c r="C8" s="27" t="inlineStr">
        <is>
          <t>Worked example</t>
        </is>
      </c>
      <c r="D8" s="27" t="inlineStr">
        <is>
          <t>C17, D17</t>
        </is>
      </c>
      <c r="E8" s="27" t="inlineStr">
        <is>
          <t>II.21 must sum II.15 to II.20 (value 4,000 unchanged).</t>
        </is>
      </c>
      <c r="F8" s="27" t="inlineStr">
        <is>
          <t>CONFIRMED (#47)</t>
        </is>
      </c>
      <c r="G8" s="27" t="inlineStr">
        <is>
          <t>APPLIED</t>
        </is>
      </c>
      <c r="H8" s="27" t="inlineStr">
        <is>
          <t>C17 is now '=0+0+0+C15+C16+0' (II.15-II.17 and II.20 are zero here).</t>
        </is>
      </c>
    </row>
    <row r="9">
      <c r="A9" s="27" t="n">
        <v>5</v>
      </c>
      <c r="B9" s="27" t="inlineStr">
        <is>
          <t>Form-map</t>
        </is>
      </c>
      <c r="C9" s="27" t="inlineStr">
        <is>
          <t>Worked example</t>
        </is>
      </c>
      <c r="D9" s="27" t="inlineStr">
        <is>
          <t>C33, B33, D33</t>
        </is>
      </c>
      <c r="E9" s="27" t="inlineStr">
        <is>
          <t>Graduated tax applies to IV.15 = IV.3 + IV.14. Add IV.3 (= 0). Value unchanged (85,300).</t>
        </is>
      </c>
      <c r="F9" s="27" t="inlineStr">
        <is>
          <t>CONFIRMED (#50)</t>
        </is>
      </c>
      <c r="G9" s="27" t="inlineStr">
        <is>
          <t>APPLIED</t>
        </is>
      </c>
      <c r="H9" s="27" t="inlineStr">
        <is>
          <t>C33 applies to (C43+C32). IV.3 added as row 43 = 0.</t>
        </is>
      </c>
    </row>
    <row r="10">
      <c r="A10" s="27" t="n">
        <v>6</v>
      </c>
      <c r="B10" s="27" t="inlineStr">
        <is>
          <t>Form-map</t>
        </is>
      </c>
      <c r="C10" s="27" t="inlineStr">
        <is>
          <t>Worked example</t>
        </is>
      </c>
      <c r="D10" s="27" t="inlineStr">
        <is>
          <t>C37, A37:B37</t>
        </is>
      </c>
      <c r="E10" s="27" t="inlineStr">
        <is>
          <t>V.10 must sum V.1 to V.9 (value 52,300 unchanged).</t>
        </is>
      </c>
      <c r="F10" s="27" t="inlineStr">
        <is>
          <t>UNCONFIRMED (#54)</t>
        </is>
      </c>
      <c r="G10" s="27" t="inlineStr">
        <is>
          <t>NOT APPLIED (needs review)</t>
        </is>
      </c>
      <c r="H10" s="27" t="inlineStr">
        <is>
          <t>Left as is. The worked example sums V.2 to V.4 only. The E99 formula in the field tab reads 'Sum V.1 through V.9' (text).</t>
        </is>
      </c>
    </row>
    <row r="11">
      <c r="A11" s="27" t="n">
        <v>7</v>
      </c>
      <c r="B11" s="27" t="inlineStr">
        <is>
          <t>Form-map</t>
        </is>
      </c>
      <c r="C11" s="27" t="inlineStr">
        <is>
          <t>Worked example</t>
        </is>
      </c>
      <c r="D11" s="27" t="inlineStr">
        <is>
          <t>A39:B39, C39, D39</t>
        </is>
      </c>
      <c r="E11" s="27" t="inlineStr">
        <is>
          <t>Show the chain II.23 -&gt; II.25 -&gt; II.27 -&gt; II.29 (value 33,000 unchanged).</t>
        </is>
      </c>
      <c r="F11" s="27" t="inlineStr">
        <is>
          <t>CONFIRMED (#53)</t>
        </is>
      </c>
      <c r="G11" s="27" t="inlineStr">
        <is>
          <t>APPLIED</t>
        </is>
      </c>
      <c r="H11" s="27" t="inlineStr">
        <is>
          <t>A39 = '1701-MS II.25'; C39 = C44 - C38. II.23, II.27, II.29 added as rows 44-46.</t>
        </is>
      </c>
    </row>
    <row r="12">
      <c r="A12" s="27" t="n">
        <v>8</v>
      </c>
      <c r="B12" s="27" t="inlineStr">
        <is>
          <t>Form-map</t>
        </is>
      </c>
      <c r="C12" s="27" t="inlineStr">
        <is>
          <t>Example data</t>
        </is>
      </c>
      <c r="D12" s="27" t="inlineStr">
        <is>
          <t>H17</t>
        </is>
      </c>
      <c r="E12" s="27" t="inlineStr">
        <is>
          <t>Change 2808.4 to 2,808.33 under the annualized method, or document the payroll source.</t>
        </is>
      </c>
      <c r="F12" s="27" t="inlineStr">
        <is>
          <t>UNCONFIRMED (#49): arithmetic CONFIRMED, payroll method UNCONFIRMED</t>
        </is>
      </c>
      <c r="G12" s="27" t="inlineStr">
        <is>
          <t>NOT APPLIED (needs review)</t>
        </is>
      </c>
      <c r="H12" s="27" t="inlineStr">
        <is>
          <t>Left at 2808.4. The annualized figure is arithmetic only; the payroll withholding method is not verified.</t>
        </is>
      </c>
    </row>
    <row r="13">
      <c r="A13" s="27" t="n">
        <v>9</v>
      </c>
      <c r="B13" s="27" t="inlineStr">
        <is>
          <t>Form-map</t>
        </is>
      </c>
      <c r="C13" s="27" t="inlineStr">
        <is>
          <t>Example data</t>
        </is>
      </c>
      <c r="D13" s="27" t="inlineStr">
        <is>
          <t>H8</t>
        </is>
      </c>
      <c r="E13" s="27" t="inlineStr">
        <is>
          <t>Confirm the INV-Q3 2307 amount (2,900 vs 3,000 peers). If 3,000, the worked example changes.</t>
        </is>
      </c>
      <c r="F13" s="27" t="inlineStr">
        <is>
          <t>UNCONFIRMED (#52)</t>
        </is>
      </c>
      <c r="G13" s="27" t="inlineStr">
        <is>
          <t>NOT APPLIED (needs review)</t>
        </is>
      </c>
      <c r="H13" s="27" t="inlineStr">
        <is>
          <t>Left at 2900. Whether 2,900 is an error is not established.</t>
        </is>
      </c>
    </row>
    <row r="14">
      <c r="A14" s="27" t="n">
        <v>10</v>
      </c>
      <c r="B14" s="27" t="inlineStr">
        <is>
          <t>Form-map</t>
        </is>
      </c>
      <c r="C14" s="27" t="inlineStr">
        <is>
          <t>Example data</t>
        </is>
      </c>
      <c r="D14" s="27" t="inlineStr">
        <is>
          <t>A12, I12</t>
        </is>
      </c>
      <c r="E14" s="27" t="inlineStr">
        <is>
          <t>PAY-Q3 holds one month of payroll (September). Relabel as September or add July and August.</t>
        </is>
      </c>
      <c r="F14" s="27" t="inlineStr">
        <is>
          <t>CONFIRMED (#55)</t>
        </is>
      </c>
      <c r="G14" s="27" t="inlineStr">
        <is>
          <t>APPLIED</t>
        </is>
      </c>
      <c r="H14" s="27" t="inlineStr">
        <is>
          <t>A12 = 'PAY-SEP'. I12 notes 'September 2026 only; July and August absent'.</t>
        </is>
      </c>
    </row>
    <row r="15">
      <c r="A15" s="27" t="n">
        <v>11</v>
      </c>
      <c r="B15" s="27" t="inlineStr">
        <is>
          <t>Form-map</t>
        </is>
      </c>
      <c r="C15" s="27" t="inlineStr">
        <is>
          <t>(none)</t>
        </is>
      </c>
      <c r="D15" s="27" t="inlineStr">
        <is>
          <t>-</t>
        </is>
      </c>
      <c r="E15" s="27" t="inlineStr">
        <is>
          <t>No change: Worked example C8 and C30 are consistent with code.</t>
        </is>
      </c>
      <c r="F15" s="27" t="inlineStr">
        <is>
          <t>n/a (sheets.md s9)</t>
        </is>
      </c>
      <c r="G15" s="27" t="inlineStr">
        <is>
          <t>NO CHANGE</t>
        </is>
      </c>
      <c r="H15" s="27" t="inlineStr">
        <is>
          <t>No action.</t>
        </is>
      </c>
    </row>
    <row r="16">
      <c r="A16" s="27" t="n">
        <v>12</v>
      </c>
      <c r="B16" s="27" t="inlineStr">
        <is>
          <t>Form-map</t>
        </is>
      </c>
      <c r="C16" s="27" t="inlineStr">
        <is>
          <t>Form catalog C10; Profile A18</t>
        </is>
      </c>
      <c r="D16" s="27" t="inlineStr">
        <is>
          <t>C10 (1701-MS scope)</t>
        </is>
      </c>
      <c r="E16" s="27" t="inlineStr">
        <is>
          <t>Change scope 'Individual/Fiduciary' to 'Individual' (Annex C A7).</t>
        </is>
      </c>
      <c r="F16" s="27" t="inlineStr">
        <is>
          <t>REFUTED as stated (#60)</t>
        </is>
      </c>
      <c r="G16" s="27" t="inlineStr">
        <is>
          <t>NOT APPLIED (do not change)</t>
        </is>
      </c>
      <c r="H16" s="27" t="inlineStr">
        <is>
          <t>RMC 34-2025 Annex A item 3 includes trustees, guardians and executors where the estate or minor is in trade. The label 'Individual/Fiduciary' stays.</t>
        </is>
      </c>
    </row>
    <row r="17">
      <c r="A17" s="27" t="n">
        <v>13</v>
      </c>
      <c r="B17" s="27" t="inlineStr">
        <is>
          <t>Form-map</t>
        </is>
      </c>
      <c r="C17" s="27" t="inlineStr">
        <is>
          <t>Profile A18:A21 (checks a-e)</t>
        </is>
      </c>
      <c r="D17" s="27" t="inlineStr">
        <is>
          <t>A30:A33 (added)</t>
        </is>
      </c>
      <c r="E17" s="27" t="inlineStr">
        <is>
          <t>Add review checks (a)-(e) to A18:A21.</t>
        </is>
      </c>
      <c r="F17" s="27" t="inlineStr">
        <is>
          <t>PARTIAL: (c) CONFIRMED (#75); (a) REFUTED as worded (#60); (e) conflict CONFIRMED (#73, #84); (b) and (d) not verified</t>
        </is>
      </c>
      <c r="G17" s="27" t="inlineStr">
        <is>
          <t>APPLIED in part</t>
        </is>
      </c>
      <c r="H17" s="27" t="inlineStr">
        <is>
          <t>Added check (c) (mixed earners, no 250,000) and check (e) (8% and 2551Q conflict) as new rows 32 and 33. (a), (b), (d) not added.</t>
        </is>
      </c>
    </row>
    <row r="18">
      <c r="A18" s="27" t="n">
        <v>14</v>
      </c>
      <c r="B18" s="27" t="inlineStr">
        <is>
          <t>Form-map</t>
        </is>
      </c>
      <c r="C18" s="27" t="inlineStr">
        <is>
          <t>Profile C12; Form catalog A5</t>
        </is>
      </c>
      <c r="D18" s="27" t="inlineStr">
        <is>
          <t>-</t>
        </is>
      </c>
      <c r="E18" s="27" t="inlineStr">
        <is>
          <t>Wire Profile C12 into Form catalog A5 (1700 row).</t>
        </is>
      </c>
      <c r="F18" s="27" t="inlineStr">
        <is>
          <t>C12 unused CONFIRMED (#58); target REFUTED (#59: A5 is the header 'Form')</t>
        </is>
      </c>
      <c r="G18" s="27" t="inlineStr">
        <is>
          <t>NOT APPLIED (do not change)</t>
        </is>
      </c>
      <c r="H18" s="27" t="inlineStr">
        <is>
          <t>The target cell is the header, not the 1700 row. Profile C12 stays unwired until a 1700 row exists.</t>
        </is>
      </c>
    </row>
    <row r="19">
      <c r="A19" s="27" t="n">
        <v>15</v>
      </c>
      <c r="B19" s="27" t="inlineStr">
        <is>
          <t>Form-map-2</t>
        </is>
      </c>
      <c r="C19" s="27" t="inlineStr">
        <is>
          <t>8 percent example</t>
        </is>
      </c>
      <c r="D19" s="27" t="inlineStr">
        <is>
          <t>B14:E14, A15:E15</t>
        </is>
      </c>
      <c r="E19" s="27" t="inlineStr">
        <is>
          <t>Replace MAX(0, ...) with a signed formula; show overpayment on a separate line.</t>
        </is>
      </c>
      <c r="F19" s="27" t="inlineStr">
        <is>
          <t>CONFIRMED (#57)</t>
        </is>
      </c>
      <c r="G19" s="27" t="inlineStr">
        <is>
          <t>APPLIED</t>
        </is>
      </c>
      <c r="H19" s="27" t="inlineStr">
        <is>
          <t>B14:E14 = B11-B12-B13 (signed). Row 15 'Overpayment (separate line)' = MAX(0,-row 14). Values unchanged.</t>
        </is>
      </c>
    </row>
    <row r="20">
      <c r="A20" s="27" t="n">
        <v>16</v>
      </c>
      <c r="B20" s="27" t="inlineStr">
        <is>
          <t>Form-map</t>
        </is>
      </c>
      <c r="C20" s="27" t="inlineStr">
        <is>
          <t>Category field rules A7:B8, A16:A17</t>
        </is>
      </c>
      <c r="D20" s="27" t="inlineStr">
        <is>
          <t>-</t>
        </is>
      </c>
      <c r="E20" s="27" t="inlineStr">
        <is>
          <t>Add a regime filter (1701-MS I.12) to sales and refund rules for IV.5, IV.19, IV.6.</t>
        </is>
      </c>
      <c r="F20" s="27" t="inlineStr">
        <is>
          <t>Not in verify.md; sheets.md says PARTIAL</t>
        </is>
      </c>
      <c r="G20" s="27" t="inlineStr">
        <is>
          <t>NOT APPLIED (needs review)</t>
        </is>
      </c>
      <c r="H20" s="27" t="inlineStr">
        <is>
          <t>Rule text carries the filter in the rules file (1701MS.IV.5 selector). The workbook text is not changed until the engine's 8% behaviour is checked.</t>
        </is>
      </c>
    </row>
    <row r="21">
      <c r="A21" s="27" t="n">
        <v>17</v>
      </c>
      <c r="B21" s="27" t="inlineStr">
        <is>
          <t>Form-map</t>
        </is>
      </c>
      <c r="C21" s="27" t="inlineStr">
        <is>
          <t>Category field rules A42</t>
        </is>
      </c>
      <c r="D21" s="27" t="inlineStr">
        <is>
          <t>-</t>
        </is>
      </c>
      <c r="E21" s="27" t="inlineStr">
        <is>
          <t>depreciation_expense source should be the tax-depreciation schedule, not the GL account.</t>
        </is>
      </c>
      <c r="F21" s="27" t="inlineStr">
        <is>
          <t>Not in verify.md</t>
        </is>
      </c>
      <c r="G21" s="27" t="inlineStr">
        <is>
          <t>NOT APPLIED (needs review)</t>
        </is>
      </c>
      <c r="H21" s="27" t="inlineStr">
        <is>
          <t>Catalog row 43 already says 'Use fixed asset schedule and tax adjustment'. Rule text unchanged pending review.</t>
        </is>
      </c>
    </row>
    <row r="22">
      <c r="A22" s="27" t="n">
        <v>18</v>
      </c>
      <c r="B22" s="27" t="inlineStr">
        <is>
          <t>Form-map</t>
        </is>
      </c>
      <c r="C22" s="27" t="inlineStr">
        <is>
          <t>Category field rules A18:A21</t>
        </is>
      </c>
      <c r="D22" s="27" t="inlineStr">
        <is>
          <t>-</t>
        </is>
      </c>
      <c r="E22" s="27" t="inlineStr">
        <is>
          <t>Final-tax exclusion needs a tax attribute. Whether Books stores one is UNKNOWN.</t>
        </is>
      </c>
      <c r="F22" s="27" t="inlineStr">
        <is>
          <t>UNKNOWN (sheets.md s10); not in verify.md</t>
        </is>
      </c>
      <c r="G22" s="27" t="inlineStr">
        <is>
          <t>NOT APPLIED (open)</t>
        </is>
      </c>
      <c r="H22" s="27" t="inlineStr">
        <is>
          <t>Tax attribute final_tax_flag = unknown_not_stored (tax-attributes.v1.json).</t>
        </is>
      </c>
    </row>
    <row r="23">
      <c r="A23" s="27" t="n">
        <v>19</v>
      </c>
      <c r="B23" s="27" t="inlineStr">
        <is>
          <t>Form-map</t>
        </is>
      </c>
      <c r="C23" s="27" t="inlineStr">
        <is>
          <t>Category catalog C18, C19, C20, C21, C22, C28, C29, C42, C47</t>
        </is>
      </c>
      <c r="D23" s="27" t="inlineStr">
        <is>
          <t>Account type column</t>
        </is>
      </c>
      <c r="E23" s="27" t="inlineStr">
        <is>
          <t>Map labels to Books enum values: contra revenue -&gt; revenue (subtype refunds_discounts); other income -&gt; other_income; cost -&gt; cost_of_revenue; other expense -&gt; other_expense.</t>
        </is>
      </c>
      <c r="F23" s="27" t="inlineStr">
        <is>
          <t>Not in verify.md. W2 re-read of account-constants.ts:9-18 confirms the enum (asset, liability, equity, revenue, expense, cost_of_revenue, other_income, other_expense).</t>
        </is>
      </c>
      <c r="G23" s="27" t="inlineStr">
        <is>
          <t>APPLIED (W2 re-read)</t>
        </is>
      </c>
      <c r="H23" s="27" t="inlineStr">
        <is>
          <t>Nine cells changed. Contra-revenue detail moved to the checks column (I18).</t>
        </is>
      </c>
    </row>
    <row r="24">
      <c r="A24" s="27" t="n">
        <v>20</v>
      </c>
      <c r="B24" s="27" t="inlineStr">
        <is>
          <t>Form-map</t>
        </is>
      </c>
      <c r="C24" s="27" t="inlineStr">
        <is>
          <t>Category catalog A13 (owner_drawings)</t>
        </is>
      </c>
      <c r="D24" s="27" t="inlineStr">
        <is>
          <t>A13</t>
        </is>
      </c>
      <c r="E24" s="27" t="inlineStr">
        <is>
          <t>Decide reuse of owners_equity 32000 or keep a new key.</t>
        </is>
      </c>
      <c r="F24" s="27" t="inlineStr">
        <is>
          <t>Owner decision (sheets.md s6 #20)</t>
        </is>
      </c>
      <c r="G24" s="27" t="inlineStr">
        <is>
          <t>NOT APPLIED (owner decision)</t>
        </is>
      </c>
      <c r="H24" s="27" t="inlineStr">
        <is>
          <t>Recorded as PENDING_DECISION in categories.v1.json.</t>
        </is>
      </c>
    </row>
    <row r="25">
      <c r="A25" s="27" t="n">
        <v>21</v>
      </c>
      <c r="B25" s="27" t="inlineStr">
        <is>
          <t>Form-map</t>
        </is>
      </c>
      <c r="C25" s="27" t="inlineStr">
        <is>
          <t>Category catalog rows 65-67 (added)</t>
        </is>
      </c>
      <c r="D25" s="27" t="inlineStr">
        <is>
          <t>A65:I67</t>
        </is>
      </c>
      <c r="E25" s="27" t="inlineStr">
        <is>
          <t>Add rows for ph_employee_advances (12700), ph_employee_tax_advanced (12800) and ph_unrecovered_employee_tax (61950).</t>
        </is>
      </c>
      <c r="F25" s="27" t="inlineStr">
        <is>
          <t>CONFIRMED (#40)</t>
        </is>
      </c>
      <c r="G25" s="27" t="inlineStr">
        <is>
          <t>APPLIED</t>
        </is>
      </c>
      <c r="H25" s="27" t="inlineStr">
        <is>
          <t>Names and types from Books ph-chart.ts:84-104 and 232-245. Activation set to PAYROLL. Table range extended.</t>
        </is>
      </c>
    </row>
    <row r="26">
      <c r="A26" s="27" t="n">
        <v>22</v>
      </c>
      <c r="B26" s="27" t="inlineStr">
        <is>
          <t>Form-map-2</t>
        </is>
      </c>
      <c r="C26" s="27" t="inlineStr">
        <is>
          <t>Forms and timing D18</t>
        </is>
      </c>
      <c r="D26" s="27" t="inlineStr">
        <is>
          <t>-</t>
        </is>
      </c>
      <c r="E26" s="27" t="inlineStr">
        <is>
          <t>Add 'December -&gt; 15 January regardless of channel' and the eFPS group days to the 1601-C timing.</t>
        </is>
      </c>
      <c r="F26" s="27" t="inlineStr">
        <is>
          <t>UNCONFIRMED (#83: printed due text image-only). Code CONFIRMED (books.md s4a), not in verify.md</t>
        </is>
      </c>
      <c r="G26" s="27" t="inlineStr">
        <is>
          <t>NOT APPLIED (needs review)</t>
        </is>
      </c>
      <c r="H26" s="27" t="inlineStr">
        <is>
          <t>Due-date rule kept in rates-v1.json with status UNCONFIRMED for the printed text.</t>
        </is>
      </c>
    </row>
    <row r="27">
      <c r="A27" s="27" t="n">
        <v>23</v>
      </c>
      <c r="B27" s="27" t="inlineStr">
        <is>
          <t>Form-map-2</t>
        </is>
      </c>
      <c r="C27" s="27" t="inlineStr">
        <is>
          <t>Filer combinations F9</t>
        </is>
      </c>
      <c r="D27" s="27" t="inlineStr">
        <is>
          <t>-</t>
        </is>
      </c>
      <c r="E27" s="27" t="inlineStr">
        <is>
          <t>Change 'OSD is generally 40% of individual gross sales' to 40% of net sales.</t>
        </is>
      </c>
      <c r="F27" s="27" t="inlineStr">
        <is>
          <t>Not in verify.md. Printed Part I item 17 wording conflicts with Part IV item 11 (bir.md s2)</t>
        </is>
      </c>
      <c r="G27" s="27" t="inlineStr">
        <is>
          <t>NOT APPLIED (needs review)</t>
        </is>
      </c>
      <c r="H27" s="27" t="inlineStr">
        <is>
          <t>Conflict recorded in rates-v1.json (osd UNCONFIRMED).</t>
        </is>
      </c>
    </row>
    <row r="28">
      <c r="A28" s="27" t="n">
        <v>24</v>
      </c>
      <c r="B28" s="27" t="inlineStr">
        <is>
          <t>Form-map</t>
        </is>
      </c>
      <c r="C28" s="27" t="inlineStr">
        <is>
          <t>Build notes and sources C21</t>
        </is>
      </c>
      <c r="D28" s="27" t="inlineStr">
        <is>
          <t>C21</t>
        </is>
      </c>
      <c r="E28" s="27" t="inlineStr">
        <is>
          <t>State the 8% and 2551Q conflict: Books blocks 2551Q; buwiz-oss requires NIL PT010 rows.</t>
        </is>
      </c>
      <c r="F28" s="27" t="inlineStr">
        <is>
          <t>CONFLICT CONFIRMED (#73, #84); RR 8-2018 full text UNCONFIRMED</t>
        </is>
      </c>
      <c r="G28" s="27" t="inlineStr">
        <is>
          <t>APPLIED</t>
        </is>
      </c>
      <c r="H28" s="27" t="inlineStr">
        <is>
          <t>Note appended. Conflict stated, no side chosen.</t>
        </is>
      </c>
    </row>
    <row r="29">
      <c r="A29" s="27" t="n">
        <v>25</v>
      </c>
      <c r="B29" s="27" t="inlineStr">
        <is>
          <t>Form-map and Form-map-2</t>
        </is>
      </c>
      <c r="C29" s="27" t="inlineStr">
        <is>
          <t>Build notes and sources C16; Sources C8</t>
        </is>
      </c>
      <c r="D29" s="27" t="inlineStr">
        <is>
          <t>C16 (wb1), C8 (wb2)</t>
        </is>
      </c>
      <c r="E29" s="27" t="inlineStr">
        <is>
          <t>Caveat: Annex C covers the 2025 annual return filed in 2026.</t>
        </is>
      </c>
      <c r="F29" s="27" t="inlineStr">
        <is>
          <t>CONFIRMED (#80; #76)</t>
        </is>
      </c>
      <c r="G29" s="27" t="inlineStr">
        <is>
          <t>APPLIED</t>
        </is>
      </c>
      <c r="H29" s="27" t="inlineStr">
        <is>
          <t>Caveat appended to both cells. TY2026 applicability stays UNKNOWN.</t>
        </is>
      </c>
    </row>
    <row r="30">
      <c r="A30" s="27" t="n">
        <v>26</v>
      </c>
      <c r="B30" s="27" t="inlineStr">
        <is>
          <t>Form-map</t>
        </is>
      </c>
      <c r="C30" s="27" t="inlineStr">
        <is>
          <t>Build notes and sources C20</t>
        </is>
      </c>
      <c r="D30" s="27" t="inlineStr">
        <is>
          <t>C20</t>
        </is>
      </c>
      <c r="E30" s="27" t="inlineStr">
        <is>
          <t>Note that the 8% test includes other non-operating income in the Forms engine, and that Books omits it.</t>
        </is>
      </c>
      <c r="F30" s="27" t="inlineStr">
        <is>
          <t>CONFIRMED for Books (#36, #75). The Forms-engine line (form_1701ms.rs:49) is from sheets.md s5 only</t>
        </is>
      </c>
      <c r="G30" s="27" t="inlineStr">
        <is>
          <t>APPLIED (Books part only)</t>
        </is>
      </c>
      <c r="H30" s="27" t="inlineStr">
        <is>
          <t>Note appended for the Books omission. The Forms-engine line is not stated because verify.md did not check it.</t>
        </is>
      </c>
    </row>
    <row r="31">
      <c r="A31" s="27" t="n">
        <v>27</v>
      </c>
      <c r="B31" s="27" t="inlineStr">
        <is>
          <t>Form-map</t>
        </is>
      </c>
      <c r="C31" s="27" t="inlineStr">
        <is>
          <t>Build notes and sources C22</t>
        </is>
      </c>
      <c r="D31" s="27" t="inlineStr">
        <is>
          <t>C22</t>
        </is>
      </c>
      <c r="E31" s="27" t="inlineStr">
        <is>
          <t>'ComputedReturnForm lacks 1701-MS' is Books-only; buwiz-oss has form_1701ms.rs.</t>
        </is>
      </c>
      <c r="F31" s="27" t="inlineStr">
        <is>
          <t>CONFIRMED (#34); buwiz-oss copy of the schema is byte-identical (verify s3)</t>
        </is>
      </c>
      <c r="G31" s="27" t="inlineStr">
        <is>
          <t>APPLIED</t>
        </is>
      </c>
      <c r="H31" s="27" t="inlineStr">
        <is>
          <t>Note appended.</t>
        </is>
      </c>
    </row>
    <row r="32">
      <c r="A32" s="27" t="n">
        <v>28</v>
      </c>
      <c r="B32" s="27" t="inlineStr">
        <is>
          <t>Form-map</t>
        </is>
      </c>
      <c r="C32" s="27" t="inlineStr">
        <is>
          <t>2551Q fields C20 (I.13)</t>
        </is>
      </c>
      <c r="D32" s="27" t="inlineStr">
        <is>
          <t>C20</t>
        </is>
      </c>
      <c r="E32" s="27" t="inlineStr">
        <is>
          <t>Add the 'Not applicable' option (buwiz-oss taxRateNA).</t>
        </is>
      </c>
      <c r="F32" s="27" t="inlineStr">
        <is>
          <t>CONFIRMED that the pin has taxRateNA (#7); printed NA option UNCONFIRMED (bir.md s2)</t>
        </is>
      </c>
      <c r="G32" s="27" t="inlineStr">
        <is>
          <t>APPLIED (with caveat)</t>
        </is>
      </c>
      <c r="H32" s="27" t="inlineStr">
        <is>
          <t>Option text added to C20 with the caveat.</t>
        </is>
      </c>
    </row>
    <row r="33">
      <c r="A33" s="27" t="n">
        <v>29</v>
      </c>
      <c r="B33" s="27" t="inlineStr">
        <is>
          <t>Form-map</t>
        </is>
      </c>
      <c r="C33" s="27" t="inlineStr">
        <is>
          <t>2551Q fields, row 77 (added)</t>
        </is>
      </c>
      <c r="D33" s="27" t="inlineStr">
        <is>
          <t>A77:H77</t>
        </is>
      </c>
      <c r="E33" s="27" t="inlineStr">
        <is>
          <t>Add a 'Particular 28' row (txtParticular28) after III.28.</t>
        </is>
      </c>
      <c r="F33" s="27" t="inlineStr">
        <is>
          <t>CONFIRMED (#20)</t>
        </is>
      </c>
      <c r="G33" s="27" t="inlineStr">
        <is>
          <t>APPLIED</t>
        </is>
      </c>
      <c r="H33" s="27" t="inlineStr">
        <is>
          <t>Row appended after the last row (keeps IDs unique). Table range extended.</t>
        </is>
      </c>
    </row>
    <row r="34">
      <c r="A34" s="27" t="n">
        <v>30</v>
      </c>
      <c r="B34" s="27" t="inlineStr">
        <is>
          <t>Form-map</t>
        </is>
      </c>
      <c r="C34" s="27" t="inlineStr">
        <is>
          <t>1601-C fields B52 (III.39.bank)</t>
        </is>
      </c>
      <c r="D34" s="27" t="inlineStr">
        <is>
          <t>F52</t>
        </is>
      </c>
      <c r="E34" s="27" t="inlineStr">
        <is>
          <t>No drawee key for item 39. Drop the field or add the key in the Forms repo.</t>
        </is>
      </c>
      <c r="F34" s="27" t="inlineStr">
        <is>
          <t>CONFIRMED (#13)</t>
        </is>
      </c>
      <c r="G34" s="27" t="inlineStr">
        <is>
          <t>APPLIED as annotation (row kept)</t>
        </is>
      </c>
      <c r="H34" s="27" t="inlineStr">
        <is>
          <t>Row kept and annotated. Adding a Forms key is a Forms-repo change and was not made.</t>
        </is>
      </c>
    </row>
    <row r="35">
      <c r="A35" s="27" t="n">
        <v>31</v>
      </c>
      <c r="B35" s="27" t="inlineStr">
        <is>
          <t>Form-map</t>
        </is>
      </c>
      <c r="C35" s="27" t="inlineStr">
        <is>
          <t>1601-C fields, row 84 (added)</t>
        </is>
      </c>
      <c r="D35" s="27" t="inlineStr">
        <is>
          <t>A84:H84</t>
        </is>
      </c>
      <c r="E35" s="27" t="inlineStr">
        <is>
          <t>Add a 'Particular 40' row (txtParticular40).</t>
        </is>
      </c>
      <c r="F35" s="27" t="inlineStr">
        <is>
          <t>CONFIRMED (#13; verify s4: txtParticular40 unmapped)</t>
        </is>
      </c>
      <c r="G35" s="27" t="inlineStr">
        <is>
          <t>APPLIED</t>
        </is>
      </c>
      <c r="H35" s="27" t="inlineStr">
        <is>
          <t>Row appended. Table range extended.</t>
        </is>
      </c>
    </row>
    <row r="36">
      <c r="A36" s="27" t="n">
        <v>32</v>
      </c>
      <c r="B36" s="27" t="inlineStr">
        <is>
          <t>Form-map</t>
        </is>
      </c>
      <c r="C36" s="27" t="inlineStr">
        <is>
          <t>1701-MS fields B41, B42, B43</t>
        </is>
      </c>
      <c r="D36" s="27" t="inlineStr">
        <is>
          <t>B41:B43, C43</t>
        </is>
      </c>
      <c r="E36" s="27" t="inlineStr">
        <is>
          <t>II.35 should be II.33 per the schema (Item 33). II.34 has no schema key.</t>
        </is>
      </c>
      <c r="F36" s="27" t="inlineStr">
        <is>
          <t>CONFIRMED (verify s4 item 33; #14 II.34 missing)</t>
        </is>
      </c>
      <c r="G36" s="27" t="inlineStr">
        <is>
          <t>APPLIED</t>
        </is>
      </c>
      <c r="H36" s="27" t="inlineStr">
        <is>
          <t>B43 = 'II.33' (attachments). B41 marked 'II.33 (name, signature; unnumbered in schema)'. F42 notes the missing II.34 key.</t>
        </is>
      </c>
    </row>
    <row r="37">
      <c r="A37" s="27" t="n">
        <v>33</v>
      </c>
      <c r="B37" s="27" t="inlineStr">
        <is>
          <t>Form-map</t>
        </is>
      </c>
      <c r="C37" s="27" t="inlineStr">
        <is>
          <t>1701-MS fields B52 (III.38.bank) and row 101 (added)</t>
        </is>
      </c>
      <c r="D37" s="27" t="inlineStr">
        <is>
          <t>F52, A101:H101</t>
        </is>
      </c>
      <c r="E37" s="27" t="inlineStr">
        <is>
          <t>No tax-debit-memo drawee key. Add a row for III.39 'Other particulars' (txtOtherParticulars).</t>
        </is>
      </c>
      <c r="F37" s="27" t="inlineStr">
        <is>
          <t>CONFIRMED (verify s4 payment lines)</t>
        </is>
      </c>
      <c r="G37" s="27" t="inlineStr">
        <is>
          <t>APPLIED</t>
        </is>
      </c>
      <c r="H37" s="27" t="inlineStr">
        <is>
          <t>Annotation on F52. Row appended for txtOtherParticulars. Table range extended.</t>
        </is>
      </c>
    </row>
    <row r="38">
      <c r="A38" s="27" t="n">
        <v>34</v>
      </c>
      <c r="B38" s="27" t="inlineStr">
        <is>
          <t>Form-map</t>
        </is>
      </c>
      <c r="C38" s="27" t="inlineStr">
        <is>
          <t>1701-MS fields B22 -&gt; row 23 (I.18)</t>
        </is>
      </c>
      <c r="D38" s="27" t="inlineStr">
        <is>
          <t>F23</t>
        </is>
      </c>
      <c r="E38" s="27" t="inlineStr">
        <is>
          <t>List the official values II011 to II017.</t>
        </is>
      </c>
      <c r="F38" s="27" t="inlineStr">
        <is>
          <t>CONFIRMED (pinned schema box options). Sheets cites B22; the I.18 row is row 23</t>
        </is>
      </c>
      <c r="G38" s="27" t="inlineStr">
        <is>
          <t>APPLIED</t>
        </is>
      </c>
      <c r="H38" s="27" t="inlineStr">
        <is>
          <t>F23 lists II011-II017 and the binding detail. The off-by-one reference is recorded here.</t>
        </is>
      </c>
    </row>
    <row r="39">
      <c r="A39" s="27" t="n">
        <v>35</v>
      </c>
      <c r="B39" s="27" t="inlineStr">
        <is>
          <t>Form-map</t>
        </is>
      </c>
      <c r="C39" s="27" t="inlineStr">
        <is>
          <t>1601-C fields B26; 1701-MS fields B67</t>
        </is>
      </c>
      <c r="D39" s="27" t="inlineStr">
        <is>
          <t>-</t>
        </is>
      </c>
      <c r="E39" s="27" t="inlineStr">
        <is>
          <t>Keep the IDs. Rename /tax_19_sss_gsis and txtTaxableCompensationIncomeNo7a in the Forms repo.</t>
        </is>
      </c>
      <c r="F39" s="27" t="inlineStr">
        <is>
          <t>UNCONFIRMED (#16: renaming official keys is risky); #15 REFUTED ('bound' claim)</t>
        </is>
      </c>
      <c r="G39" s="27" t="inlineStr">
        <is>
          <t>NOT APPLIED (IDs kept; no Forms rename)</t>
        </is>
      </c>
      <c r="H39" s="27" t="inlineStr">
        <is>
          <t>No cell changed. The renames are not made.</t>
        </is>
      </c>
    </row>
    <row r="40">
      <c r="A40" s="27" t="n">
        <v>36</v>
      </c>
      <c r="B40" s="27" t="inlineStr">
        <is>
          <t>Form-map</t>
        </is>
      </c>
      <c r="C40" s="27" t="inlineStr">
        <is>
          <t>Worked example C7 (290,000 base after a 10,000 return)</t>
        </is>
      </c>
      <c r="D40" s="27" t="inlineStr">
        <is>
          <t>C7</t>
        </is>
      </c>
      <c r="E40" s="27" t="inlineStr">
        <is>
          <t>Extra (not in sheets.md s6): bir.md PT-8 finds no printed deduction for sales returns in the 2551Q instructions read.</t>
        </is>
      </c>
      <c r="F40" s="27" t="inlineStr">
        <is>
          <t>Not in verify.md; bir.md PT-8 UNVERIFIED</t>
        </is>
      </c>
      <c r="G40" s="27" t="inlineStr">
        <is>
          <t>NOT APPLIED (needs review)</t>
        </is>
      </c>
      <c r="H40" s="27" t="inlineStr">
        <is>
          <t>Base 290,000 comes from SUMIFS minus the return. Treatment of returns is open (decision D20).</t>
        </is>
      </c>
    </row>
    <row r="41">
      <c r="A41" s="27" t="n">
        <v>37</v>
      </c>
      <c r="B41" s="27" t="inlineStr">
        <is>
          <t>Form-map</t>
        </is>
      </c>
      <c r="C41" s="27" t="inlineStr">
        <is>
          <t>1701-MS fields E99 / Worked example V.10</t>
        </is>
      </c>
      <c r="D41" s="27" t="inlineStr">
        <is>
          <t>-</t>
        </is>
      </c>
      <c r="E41" s="27" t="inlineStr">
        <is>
          <t>Extra: the printed Part V item 10 total is V.10. The workbook's worked example does not sum V.1 to V.9.</t>
        </is>
      </c>
      <c r="F41" s="27" t="inlineStr">
        <is>
          <t>UNCONFIRMED (#54)</t>
        </is>
      </c>
      <c r="G41" s="27" t="inlineStr">
        <is>
          <t>NOT APPLIED (needs review)</t>
        </is>
      </c>
      <c r="H41" s="27" t="inlineStr">
        <is>
          <t>See item 6.</t>
        </is>
      </c>
    </row>
    <row r="42">
      <c r="A42" s="27" t="n">
        <v>38</v>
      </c>
      <c r="B42" s="27" t="inlineStr">
        <is>
          <t>Form-map</t>
        </is>
      </c>
      <c r="C42" s="27" t="inlineStr">
        <is>
          <t>1701-MS fields row 33 (IV.8) and row 35 (IV.10A)</t>
        </is>
      </c>
      <c r="D42" s="27" t="inlineStr">
        <is>
          <t>-</t>
        </is>
      </c>
      <c r="E42" s="27" t="inlineStr">
        <is>
          <t>Extra: the printed Part I item 17 '40% of gross sales' wording conflicts with IV.11 '40% of IV.7' (bir.md s2).</t>
        </is>
      </c>
      <c r="F42" s="27" t="inlineStr">
        <is>
          <t>Not in verify.md</t>
        </is>
      </c>
      <c r="G42" s="27" t="inlineStr">
        <is>
          <t>NOT APPLIED (needs review)</t>
        </is>
      </c>
      <c r="H42" s="27" t="inlineStr">
        <is>
          <t>Recorded in rates-v1.json (osd UNCONFIRMED).</t>
        </is>
      </c>
    </row>
    <row r="43">
      <c r="A43" s="27" t="n">
        <v>39</v>
      </c>
      <c r="B43" s="27" t="inlineStr">
        <is>
          <t>Form-map</t>
        </is>
      </c>
      <c r="C43" s="27" t="inlineStr">
        <is>
          <t>Form-map 2551Q: txt15, II.15</t>
        </is>
      </c>
      <c r="D43" s="27" t="inlineStr">
        <is>
          <t>-</t>
        </is>
      </c>
      <c r="E43" s="27" t="inlineStr">
        <is>
          <t>Extra: the verified schema key frm2551Qv2018:txt15 is accepted; bare txt15 is refused. No workbook cell claims a bare key.</t>
        </is>
      </c>
      <c r="F43" s="27" t="inlineStr">
        <is>
          <t>CONFIRMED (verify s1 #1, s2 #4)</t>
        </is>
      </c>
      <c r="G43" s="27" t="inlineStr">
        <is>
          <t>NO CHANGE</t>
        </is>
      </c>
      <c r="H43" s="27" t="inlineStr">
        <is>
          <t>Recorded so no one 'fixes' the sheet IDs into keys without the prefix.</t>
        </is>
      </c>
    </row>
    <row r="44">
      <c r="A44" s="27" t="n">
        <v>40</v>
      </c>
      <c r="B44" s="27" t="inlineStr">
        <is>
          <t>Both</t>
        </is>
      </c>
      <c r="C44" s="27" t="inlineStr">
        <is>
          <t>All field-tab ID cells (H.1 ... III.40.bank)</t>
        </is>
      </c>
      <c r="D44" s="27" t="inlineStr">
        <is>
          <t>-</t>
        </is>
      </c>
      <c r="E44" s="27" t="inlineStr">
        <is>
          <t>Field-key replacement: replace any cell that claims an API key with the verified key.</t>
        </is>
      </c>
      <c r="F44" s="27" t="inlineStr">
        <is>
          <t>Checked: no cell in the workbook claims an API key. Field IDs are spreadsheet labels (sheets.md s3)</t>
        </is>
      </c>
      <c r="G44" s="27" t="inlineStr">
        <is>
          <t>NO CHANGE</t>
        </is>
      </c>
      <c r="H44" s="27" t="inlineStr">
        <is>
          <t>Verified official keys are in data/crosswalk/*.json. The sheet IDs stay as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2026-10-29T06:02:35Z</dcterms:created>
  <dcterms:modified xsi:type="dcterms:W3CDTF">2026-10-29T06:02:35Z</dcterms:modified>
</cp:coreProperties>
</file>