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ler combinations" sheetId="1" state="visible" r:id="rId1"/>
    <sheet name="Account map" sheetId="2" state="visible" r:id="rId2"/>
    <sheet name="Forms and timing" sheetId="3" state="visible" r:id="rId3"/>
    <sheet name="8 percent example" sheetId="4" state="visible" r:id="rId4"/>
    <sheet name="Sources" sheetId="5" state="visible" r:id="rId5"/>
    <sheet name="Corrections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–"/>
  </numFmts>
  <fonts count="9">
    <font>
      <name val="Carlito"/>
      <sz val="11"/>
    </font>
    <font>
      <name val="Arial"/>
      <b val="1"/>
      <color rgb="FF17324D"/>
      <sz val="15"/>
    </font>
    <font>
      <name val="Arial"/>
      <i val="1"/>
      <color rgb="FF526474"/>
      <sz val="10"/>
    </font>
    <font>
      <name val="Arial"/>
      <color rgb="FF526474"/>
      <sz val="10"/>
    </font>
    <font>
      <name val="Arial"/>
      <b val="1"/>
      <color rgb="FFFFFFFF"/>
      <sz val="10"/>
    </font>
    <font>
      <name val="Arial"/>
      <color rgb="FF1C2935"/>
      <sz val="10"/>
    </font>
    <font>
      <name val="Arial"/>
      <b val="1"/>
      <color rgb="FF17324D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4F7FA"/>
      </patternFill>
    </fill>
    <fill>
      <patternFill patternType="solid">
        <fgColor rgb="FFFFF1CC"/>
      </patternFill>
    </fill>
    <fill>
      <patternFill patternType="solid">
        <fgColor rgb="FFEAF2F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0" fillId="4" borderId="0" pivotButton="0" quotePrefix="0" xfId="0"/>
    <xf numFmtId="9" fontId="0" fillId="4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9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4" fontId="0" fillId="4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4" fontId="0" fillId="4" borderId="0" applyAlignment="1" pivotButton="0" quotePrefix="0" xfId="0">
      <alignment vertical="center"/>
    </xf>
    <xf numFmtId="9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0" fontId="7" fillId="0" borderId="0" pivotButton="0" quotePrefix="0" xfId="0"/>
    <xf numFmtId="0" fontId="8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0" customWidth="1" min="1" max="1"/>
    <col width="25" customWidth="1" min="2" max="2"/>
    <col width="32" customWidth="1" min="3" max="3"/>
    <col width="30" customWidth="1" min="4" max="4"/>
    <col width="30" customWidth="1" min="5" max="5"/>
    <col width="48" customWidth="1" min="6" max="6"/>
    <col width="16" customWidth="1" min="7" max="7"/>
  </cols>
  <sheetData>
    <row r="1" ht="24" customHeight="1">
      <c r="A1" s="1" t="inlineStr">
        <is>
          <t>Philippine filer combinations</t>
        </is>
      </c>
    </row>
    <row r="2" ht="24" customHeight="1">
      <c r="A2" s="2" t="inlineStr">
        <is>
          <t>Read a base row, then add the payroll, withholding or one-time rows that apply.</t>
        </is>
      </c>
    </row>
    <row r="3" ht="24" customHeight="1">
      <c r="A3" s="3" t="inlineStr">
        <is>
          <t>Research date: 28 Oct 2026. Check the taxpayer’s registration, period, elections and current BIR instructions.</t>
        </is>
      </c>
    </row>
    <row r="5" ht="32" customHeight="1">
      <c r="A5" s="7" t="inlineStr">
        <is>
          <t>Filer / trigger</t>
        </is>
      </c>
      <c r="B5" s="7" t="inlineStr">
        <is>
          <t>Income-tax method</t>
        </is>
      </c>
      <c r="C5" s="7" t="inlineStr">
        <is>
          <t>Annual income return / main forms</t>
        </is>
      </c>
      <c r="D5" s="7" t="inlineStr">
        <is>
          <t>Quarterly or periodic</t>
        </is>
      </c>
      <c r="E5" s="7" t="inlineStr">
        <is>
          <t>Business tax</t>
        </is>
      </c>
      <c r="F5" s="7" t="inlineStr">
        <is>
          <t>Important conditions</t>
        </is>
      </c>
      <c r="G5" s="7" t="inlineStr">
        <is>
          <t>Sources</t>
        </is>
      </c>
    </row>
    <row r="6" ht="49" customHeight="1">
      <c r="A6" s="10" t="inlineStr">
        <is>
          <t>Employee, one PH employer; correct withholding</t>
        </is>
      </c>
      <c r="B6" s="10" t="inlineStr">
        <is>
          <t>Compensation only</t>
        </is>
      </c>
      <c r="C6" s="10" t="inlineStr">
        <is>
          <t>Employer issues 2316; substituted filing if conditions met</t>
        </is>
      </c>
      <c r="D6" s="10" t="inlineStr">
        <is>
          <t>No separate 1700 if qualified</t>
        </is>
      </c>
      <c r="E6" s="10" t="inlineStr">
        <is>
          <t>None for ordinary employment income</t>
        </is>
      </c>
      <c r="F6" s="10" t="inlineStr">
        <is>
          <t>Employer: 1601-C and 1604-C; employee keeps 2316</t>
        </is>
      </c>
      <c r="G6" s="10" t="inlineStr">
        <is>
          <t>S1, S9</t>
        </is>
      </c>
    </row>
    <row r="7" ht="49" customHeight="1">
      <c r="A7" s="11" t="inlineStr">
        <is>
          <t>Employee; multiple employers or withholding incorrect</t>
        </is>
      </c>
      <c r="B7" s="11" t="inlineStr">
        <is>
          <t>Compensation only</t>
        </is>
      </c>
      <c r="C7" s="11" t="inlineStr">
        <is>
          <t>1700 when required</t>
        </is>
      </c>
      <c r="D7" s="11" t="inlineStr">
        <is>
          <t>Annual 1700</t>
        </is>
      </c>
      <c r="E7" s="11" t="inlineStr">
        <is>
          <t>None for ordinary employment income</t>
        </is>
      </c>
      <c r="F7" s="11" t="inlineStr">
        <is>
          <t>Use all applicable 2316s; substitution conditions fail</t>
        </is>
      </c>
      <c r="G7" s="11" t="inlineStr">
        <is>
          <t>S1, S9</t>
        </is>
      </c>
    </row>
    <row r="8" ht="49" customHeight="1">
      <c r="A8" s="10" t="inlineStr">
        <is>
          <t>Pure business / freelancer; non-VAT</t>
        </is>
      </c>
      <c r="B8" s="10" t="inlineStr">
        <is>
          <t>8% validly elected</t>
        </is>
      </c>
      <c r="C8" s="10" t="inlineStr">
        <is>
          <t>1701A or eligible 1701-MS</t>
        </is>
      </c>
      <c r="D8" s="10" t="inlineStr">
        <is>
          <t>1701Q for Q1–Q3</t>
        </is>
      </c>
      <c r="E8" s="10" t="inlineStr">
        <is>
          <t>8% replaces Section 116 3% tax</t>
        </is>
      </c>
      <c r="F8" s="10" t="inlineStr">
        <is>
          <t>250,000 reduction applies once; other obligations can still apply</t>
        </is>
      </c>
      <c r="G8" s="10" t="inlineStr">
        <is>
          <t>S2, S3</t>
        </is>
      </c>
    </row>
    <row r="9" ht="49" customHeight="1">
      <c r="A9" s="11" t="inlineStr">
        <is>
          <t>Pure business / freelancer; non-VAT</t>
        </is>
      </c>
      <c r="B9" s="11" t="inlineStr">
        <is>
          <t>Graduated + optional standard deduction</t>
        </is>
      </c>
      <c r="C9" s="11" t="inlineStr">
        <is>
          <t>1701A or eligible 1701-MS</t>
        </is>
      </c>
      <c r="D9" s="11" t="inlineStr">
        <is>
          <t>1701Q for Q1–Q3</t>
        </is>
      </c>
      <c r="E9" s="11" t="inlineStr">
        <is>
          <t>2551Q if Section 116 applies</t>
        </is>
      </c>
      <c r="F9" s="11" t="inlineStr">
        <is>
          <t>OSD is generally 40% of individual gross sales; check eligibility</t>
        </is>
      </c>
      <c r="G9" s="11" t="inlineStr">
        <is>
          <t>S1, S2, S4</t>
        </is>
      </c>
    </row>
    <row r="10" ht="49" customHeight="1">
      <c r="A10" s="10" t="inlineStr">
        <is>
          <t>Pure business / freelancer; non-VAT</t>
        </is>
      </c>
      <c r="B10" s="10" t="inlineStr">
        <is>
          <t>Graduated + itemized deductions</t>
        </is>
      </c>
      <c r="C10" s="10" t="inlineStr">
        <is>
          <t>1701 or eligible 1701-MS</t>
        </is>
      </c>
      <c r="D10" s="10" t="inlineStr">
        <is>
          <t>1701Q for Q1–Q3</t>
        </is>
      </c>
      <c r="E10" s="10" t="inlineStr">
        <is>
          <t>2551Q if Section 116 applies</t>
        </is>
      </c>
      <c r="F10" s="10" t="inlineStr">
        <is>
          <t>Track deductible expenses, inventory/cost, adjustments and proof</t>
        </is>
      </c>
      <c r="G10" s="10" t="inlineStr">
        <is>
          <t>S1, S3, S4</t>
        </is>
      </c>
    </row>
    <row r="11" ht="49" customHeight="1">
      <c r="A11" s="11" t="inlineStr">
        <is>
          <t>Pure business / freelancer; VAT registered</t>
        </is>
      </c>
      <c r="B11" s="11" t="inlineStr">
        <is>
          <t>Graduated + optional standard deduction</t>
        </is>
      </c>
      <c r="C11" s="11" t="inlineStr">
        <is>
          <t>1701A or eligible 1701-MS</t>
        </is>
      </c>
      <c r="D11" s="11" t="inlineStr">
        <is>
          <t>1701Q for Q1–Q3</t>
        </is>
      </c>
      <c r="E11" s="11" t="inlineStr">
        <is>
          <t>2550Q</t>
        </is>
      </c>
      <c r="F11" s="11" t="inlineStr">
        <is>
          <t>8% unavailable to VAT-registered taxpayer</t>
        </is>
      </c>
      <c r="G11" s="11" t="inlineStr">
        <is>
          <t>S1, S2, S5</t>
        </is>
      </c>
    </row>
    <row r="12" ht="49" customHeight="1">
      <c r="A12" s="10" t="inlineStr">
        <is>
          <t>Pure business / freelancer; VAT registered</t>
        </is>
      </c>
      <c r="B12" s="10" t="inlineStr">
        <is>
          <t>Graduated + itemized deductions</t>
        </is>
      </c>
      <c r="C12" s="10" t="inlineStr">
        <is>
          <t>1701 or eligible 1701-MS</t>
        </is>
      </c>
      <c r="D12" s="10" t="inlineStr">
        <is>
          <t>1701Q for Q1–Q3</t>
        </is>
      </c>
      <c r="E12" s="10" t="inlineStr">
        <is>
          <t>2550Q</t>
        </is>
      </c>
      <c r="F12" s="10" t="inlineStr">
        <is>
          <t>Classify taxable, zero-rated and exempt sales</t>
        </is>
      </c>
      <c r="G12" s="10" t="inlineStr">
        <is>
          <t>S1, S3, S5</t>
        </is>
      </c>
    </row>
    <row r="13" ht="49" customHeight="1">
      <c r="A13" s="11" t="inlineStr">
        <is>
          <t>Employee plus business; non-VAT</t>
        </is>
      </c>
      <c r="B13" s="11" t="inlineStr">
        <is>
          <t>8% on business income; graduated compensation</t>
        </is>
      </c>
      <c r="C13" s="11" t="inlineStr">
        <is>
          <t>1701 or eligible 1701-MS</t>
        </is>
      </c>
      <c r="D13" s="11" t="inlineStr">
        <is>
          <t>1701Q for Q1–Q3</t>
        </is>
      </c>
      <c r="E13" s="11" t="inlineStr">
        <is>
          <t>8% replaces Section 116 3% tax</t>
        </is>
      </c>
      <c r="F13" s="11" t="inlineStr">
        <is>
          <t>No 250,000 reduction on 8% business component; obtain 2316</t>
        </is>
      </c>
      <c r="G13" s="11" t="inlineStr">
        <is>
          <t>S1, S2, S3</t>
        </is>
      </c>
    </row>
    <row r="14" ht="49" customHeight="1">
      <c r="A14" s="10" t="inlineStr">
        <is>
          <t>Employee plus business; non-VAT</t>
        </is>
      </c>
      <c r="B14" s="10" t="inlineStr">
        <is>
          <t>Graduated + OSD or itemized</t>
        </is>
      </c>
      <c r="C14" s="10" t="inlineStr">
        <is>
          <t>1701 or eligible 1701-MS</t>
        </is>
      </c>
      <c r="D14" s="10" t="inlineStr">
        <is>
          <t>1701Q for Q1–Q3</t>
        </is>
      </c>
      <c r="E14" s="10" t="inlineStr">
        <is>
          <t>2551Q if Section 116 applies</t>
        </is>
      </c>
      <c r="F14" s="10" t="inlineStr">
        <is>
          <t>Compensation is combined on annual return</t>
        </is>
      </c>
      <c r="G14" s="10" t="inlineStr">
        <is>
          <t>S1, S3, S4</t>
        </is>
      </c>
    </row>
    <row r="15" ht="49" customHeight="1">
      <c r="A15" s="11" t="inlineStr">
        <is>
          <t>Employee plus business; VAT registered</t>
        </is>
      </c>
      <c r="B15" s="11" t="inlineStr">
        <is>
          <t>Graduated + OSD or itemized</t>
        </is>
      </c>
      <c r="C15" s="11" t="inlineStr">
        <is>
          <t>1701 or eligible 1701-MS</t>
        </is>
      </c>
      <c r="D15" s="11" t="inlineStr">
        <is>
          <t>1701Q for Q1–Q3</t>
        </is>
      </c>
      <c r="E15" s="11" t="inlineStr">
        <is>
          <t>2550Q</t>
        </is>
      </c>
      <c r="F15" s="11" t="inlineStr">
        <is>
          <t>Use compensation records and the business ledgers</t>
        </is>
      </c>
      <c r="G15" s="11" t="inlineStr">
        <is>
          <t>S1, S3, S5</t>
        </is>
      </c>
    </row>
    <row r="16" ht="49" customHeight="1">
      <c r="A16" s="10" t="inlineStr">
        <is>
          <t>8% filer later exceeds eligibility ceiling</t>
        </is>
      </c>
      <c r="B16" s="10" t="inlineStr">
        <is>
          <t>Switch to graduated rates for taxable year</t>
        </is>
      </c>
      <c r="C16" s="10" t="inlineStr">
        <is>
          <t>1701 or eligible 1701-MS, as applicable</t>
        </is>
      </c>
      <c r="D16" s="10" t="inlineStr">
        <is>
          <t>1701Q as applicable; prior tax paid credited</t>
        </is>
      </c>
      <c r="E16" s="10" t="inlineStr">
        <is>
          <t>Section 116 and VAT may both arise for different periods</t>
        </is>
      </c>
      <c r="F16" s="10" t="inlineStr">
        <is>
          <t>Update registration; transition depends on the specific threshold and timing</t>
        </is>
      </c>
      <c r="G16" s="10" t="inlineStr">
        <is>
          <t>S2</t>
        </is>
      </c>
    </row>
    <row r="17" ht="49" customHeight="1">
      <c r="A17" s="11" t="inlineStr">
        <is>
          <t>Ordinary domestic corporation or taxable partnership; non-VAT</t>
        </is>
      </c>
      <c r="B17" s="11" t="inlineStr">
        <is>
          <t>Regular corporate rate</t>
        </is>
      </c>
      <c r="C17" s="11" t="inlineStr">
        <is>
          <t>1702-RT</t>
        </is>
      </c>
      <c r="D17" s="11" t="inlineStr">
        <is>
          <t>1702Q first three quarters</t>
        </is>
      </c>
      <c r="E17" s="11" t="inlineStr">
        <is>
          <t>2551Q if Section 116 applies</t>
        </is>
      </c>
      <c r="F17" s="11" t="inlineStr">
        <is>
          <t>Withholding and payroll forms are additional when applicable</t>
        </is>
      </c>
      <c r="G17" s="11" t="inlineStr">
        <is>
          <t>S1, S4, S8</t>
        </is>
      </c>
    </row>
    <row r="18" ht="49" customHeight="1">
      <c r="A18" s="10" t="inlineStr">
        <is>
          <t>Ordinary domestic corporation, including OPC; VAT registered</t>
        </is>
      </c>
      <c r="B18" s="10" t="inlineStr">
        <is>
          <t>Regular corporate rate</t>
        </is>
      </c>
      <c r="C18" s="10" t="inlineStr">
        <is>
          <t>1702-RT</t>
        </is>
      </c>
      <c r="D18" s="10" t="inlineStr">
        <is>
          <t>1702Q first three quarters</t>
        </is>
      </c>
      <c r="E18" s="10" t="inlineStr">
        <is>
          <t>2550Q</t>
        </is>
      </c>
      <c r="F18" s="10" t="inlineStr">
        <is>
          <t>A corporation cannot elect the individual 8% rate</t>
        </is>
      </c>
      <c r="G18" s="10" t="inlineStr">
        <is>
          <t>S1, S5, S8</t>
        </is>
      </c>
    </row>
    <row r="19" ht="49" customHeight="1">
      <c r="A19" s="11" t="inlineStr">
        <is>
          <t>Entity with both taxable and preferential-rate income</t>
        </is>
      </c>
      <c r="B19" s="11" t="inlineStr">
        <is>
          <t>Multiple / special / preferential rates</t>
        </is>
      </c>
      <c r="C19" s="11" t="inlineStr">
        <is>
          <t>1702-MX</t>
        </is>
      </c>
      <c r="D19" s="11" t="inlineStr">
        <is>
          <t>1702Q as applicable</t>
        </is>
      </c>
      <c r="E19" s="11" t="inlineStr">
        <is>
          <t>2550Q, 2551Q or other tax based on activities</t>
        </is>
      </c>
      <c r="F19" s="11" t="inlineStr">
        <is>
          <t>Separate income, costs, transactions and tax incentives</t>
        </is>
      </c>
      <c r="G19" s="11" t="inlineStr">
        <is>
          <t>S1, S8</t>
        </is>
      </c>
    </row>
    <row r="20" ht="49" customHeight="1">
      <c r="A20" s="10" t="inlineStr">
        <is>
          <t>Exempt entity or general professional partnership</t>
        </is>
      </c>
      <c r="B20" s="10" t="inlineStr">
        <is>
          <t>Exempt, with no other taxable income</t>
        </is>
      </c>
      <c r="C20" s="10" t="inlineStr">
        <is>
          <t>1702-EX</t>
        </is>
      </c>
      <c r="D20" s="10" t="inlineStr">
        <is>
          <t>Check quarterly and registration obligations</t>
        </is>
      </c>
      <c r="E20" s="10" t="inlineStr">
        <is>
          <t>Business tax and withholding assessed separately</t>
        </is>
      </c>
      <c r="F20" s="10" t="inlineStr">
        <is>
          <t>A GPP partner reports distributive share separately; 8% not available for that share</t>
        </is>
      </c>
      <c r="G20" s="10" t="inlineStr">
        <is>
          <t>S1, S2</t>
        </is>
      </c>
    </row>
    <row r="21" ht="49" customHeight="1">
      <c r="A21" s="11" t="inlineStr">
        <is>
          <t>Estate / trust earning business income</t>
        </is>
      </c>
      <c r="B21" s="11" t="inlineStr">
        <is>
          <t>Income-tax treatment depends on facts</t>
        </is>
      </c>
      <c r="C21" s="11" t="inlineStr">
        <is>
          <t>1701 where required</t>
        </is>
      </c>
      <c r="D21" s="11" t="inlineStr">
        <is>
          <t>1701Q where required</t>
        </is>
      </c>
      <c r="E21" s="11" t="inlineStr">
        <is>
          <t>2550Q / 2551Q only when applicable</t>
        </is>
      </c>
      <c r="F21" s="11" t="inlineStr">
        <is>
          <t>Estate transfer tax uses 1801; it is separate from income tax</t>
        </is>
      </c>
      <c r="G21" s="11" t="inlineStr">
        <is>
          <t>S1, S14</t>
        </is>
      </c>
    </row>
    <row r="22" ht="49" customHeight="1">
      <c r="A22" s="10" t="inlineStr">
        <is>
          <t>Business with employees</t>
        </is>
      </c>
      <c r="B22" s="10" t="inlineStr">
        <is>
          <t>Add payroll withholding</t>
        </is>
      </c>
      <c r="C22" s="10" t="inlineStr">
        <is>
          <t>1601-C monthly; 1604-C annually</t>
        </is>
      </c>
      <c r="D22" s="10" t="inlineStr">
        <is>
          <t>Issue 2316 to employees</t>
        </is>
      </c>
      <c r="E22" s="10" t="inlineStr">
        <is>
          <t>No change merely because employees are hired</t>
        </is>
      </c>
      <c r="F22" s="10" t="inlineStr">
        <is>
          <t>Payroll withholding is withheld from workers and remitted by employer</t>
        </is>
      </c>
      <c r="G22" s="10" t="inlineStr">
        <is>
          <t>S6, S7</t>
        </is>
      </c>
    </row>
    <row r="23" ht="49" customHeight="1">
      <c r="A23" s="11" t="inlineStr">
        <is>
          <t>Business required to withhold on suppliers</t>
        </is>
      </c>
      <c r="B23" s="11" t="inlineStr">
        <is>
          <t>Add expanded withholding</t>
        </is>
      </c>
      <c r="C23" s="11" t="inlineStr">
        <is>
          <t>0619-E, 1601-EQ, QAP, 1604-E</t>
        </is>
      </c>
      <c r="D23" s="11" t="inlineStr">
        <is>
          <t>0619-E first two months; 1601-EQ quarterly</t>
        </is>
      </c>
      <c r="E23" s="11" t="inlineStr">
        <is>
          <t>No change merely because supplier tax is withheld</t>
        </is>
      </c>
      <c r="F23" s="11" t="inlineStr">
        <is>
          <t>Issue 2307; determine withholding agent, nature, ATC and rate</t>
        </is>
      </c>
      <c r="G23" s="11" t="inlineStr">
        <is>
          <t>S6, S7</t>
        </is>
      </c>
    </row>
    <row r="24" ht="49" customHeight="1">
      <c r="A24" s="10" t="inlineStr">
        <is>
          <t>Business with final withholding obligation</t>
        </is>
      </c>
      <c r="B24" s="10" t="inlineStr">
        <is>
          <t>Add final withholding</t>
        </is>
      </c>
      <c r="C24" s="10" t="inlineStr">
        <is>
          <t>0619-F, 1601-FQ, 1604-F as applicable</t>
        </is>
      </c>
      <c r="D24" s="10" t="inlineStr">
        <is>
          <t>First two months and quarterly, as applicable</t>
        </is>
      </c>
      <c r="E24" s="10" t="inlineStr">
        <is>
          <t>No automatic substitution for income or VAT forms</t>
        </is>
      </c>
      <c r="F24" s="10" t="inlineStr">
        <is>
          <t>Special returns can apply depending on payment; issue 2306 where applicable</t>
        </is>
      </c>
      <c r="G24" s="10" t="inlineStr">
        <is>
          <t>S6, S7</t>
        </is>
      </c>
    </row>
    <row r="25" ht="49" customHeight="1">
      <c r="A25" s="11" t="inlineStr">
        <is>
          <t>One-time property or shares transfer</t>
        </is>
      </c>
      <c r="B25" s="11" t="inlineStr">
        <is>
          <t>Transaction-specific tax</t>
        </is>
      </c>
      <c r="C25" s="11" t="inlineStr">
        <is>
          <t>1706 for applicable real-property capital assets; 1707 for applicable unlisted shares</t>
        </is>
      </c>
      <c r="D25" s="11" t="inlineStr">
        <is>
          <t>On each covered transfer</t>
        </is>
      </c>
      <c r="E25" s="11" t="inlineStr">
        <is>
          <t>Other taxes may also apply, including DST</t>
        </is>
      </c>
      <c r="F25" s="11" t="inlineStr">
        <is>
          <t>1707-A is an additional annual consolidation where required</t>
        </is>
      </c>
      <c r="G25" s="11" t="inlineStr">
        <is>
          <t>S13</t>
        </is>
      </c>
    </row>
    <row r="26" ht="49" customHeight="1">
      <c r="A26" s="10" t="inlineStr">
        <is>
          <t>Gift or decedent estate</t>
        </is>
      </c>
      <c r="B26" s="10" t="inlineStr">
        <is>
          <t>Transfer tax</t>
        </is>
      </c>
      <c r="C26" s="10" t="inlineStr">
        <is>
          <t>1800 donor; 1801 estate</t>
        </is>
      </c>
      <c r="D26" s="10" t="inlineStr">
        <is>
          <t>Event-driven</t>
        </is>
      </c>
      <c r="E26" s="10" t="inlineStr">
        <is>
          <t>Income / VAT obligations are separate</t>
        </is>
      </c>
      <c r="F26" s="10" t="inlineStr">
        <is>
          <t>Scope, thresholds, exemptions and filing duties depend on facts</t>
        </is>
      </c>
      <c r="G26" s="10" t="inlineStr">
        <is>
          <t>S14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7" customWidth="1" min="1" max="1"/>
    <col width="20" customWidth="1" min="2" max="2"/>
    <col width="35" customWidth="1" min="3" max="3"/>
    <col width="42" customWidth="1" min="4" max="4"/>
    <col width="42" customWidth="1" min="5" max="5"/>
    <col width="39" customWidth="1" min="6" max="6"/>
    <col width="29" customWidth="1" min="7" max="7"/>
    <col width="14" customWidth="1" min="8" max="8"/>
  </cols>
  <sheetData>
    <row r="1" ht="24" customHeight="1">
      <c r="A1" s="1" t="inlineStr">
        <is>
          <t>Accounts and tax destinations</t>
        </is>
      </c>
    </row>
    <row r="2" ht="24" customHeight="1">
      <c r="A2" s="2" t="inlineStr">
        <is>
          <t>A category is a starting point. Each transaction also needs legal, VAT, timing and withholding attributes.</t>
        </is>
      </c>
    </row>
    <row r="3" ht="24" customHeight="1">
      <c r="A3" s="3" t="inlineStr">
        <is>
          <t>Amounts may be reportable in more than one form. Deductions, credits and VAT treatment require eligibility and support.</t>
        </is>
      </c>
    </row>
    <row r="5" ht="32" customHeight="1">
      <c r="A5" s="7" t="inlineStr">
        <is>
          <t>Account / classification</t>
        </is>
      </c>
      <c r="B5" s="7" t="inlineStr">
        <is>
          <t>Book type</t>
        </is>
      </c>
      <c r="C5" s="7" t="inlineStr">
        <is>
          <t>What it represents</t>
        </is>
      </c>
      <c r="D5" s="7" t="inlineStr">
        <is>
          <t>Income-tax destination</t>
        </is>
      </c>
      <c r="E5" s="7" t="inlineStr">
        <is>
          <t>VAT / percentage-tax destination</t>
        </is>
      </c>
      <c r="F5" s="7" t="inlineStr">
        <is>
          <t>Withholding destination</t>
        </is>
      </c>
      <c r="G5" s="7" t="inlineStr">
        <is>
          <t>Evidence</t>
        </is>
      </c>
      <c r="H5" s="7" t="inlineStr">
        <is>
          <t>Sources</t>
        </is>
      </c>
    </row>
    <row r="6" ht="49" customHeight="1">
      <c r="A6" s="10" t="inlineStr">
        <is>
          <t>Service revenue</t>
        </is>
      </c>
      <c r="B6" s="10" t="inlineStr">
        <is>
          <t>Income</t>
        </is>
      </c>
      <c r="C6" s="10" t="inlineStr">
        <is>
          <t>Full invoiced business service amount</t>
        </is>
      </c>
      <c r="D6" s="10" t="inlineStr">
        <is>
          <t>1701Q and annual 1701 / 1701A / 1701-MS; or 1702 series</t>
        </is>
      </c>
      <c r="E6" s="10" t="inlineStr">
        <is>
          <t>2550Q taxable / zero-rated / exempt or 2551Q if applicable</t>
        </is>
      </c>
      <c r="F6" s="10" t="inlineStr">
        <is>
          <t>2307 received if customer withholds</t>
        </is>
      </c>
      <c r="G6" s="10" t="inlineStr">
        <is>
          <t>Invoice, customer and tax classification</t>
        </is>
      </c>
      <c r="H6" s="10" t="inlineStr">
        <is>
          <t>S1, S5, S11</t>
        </is>
      </c>
    </row>
    <row r="7" ht="49" customHeight="1">
      <c r="A7" s="11" t="inlineStr">
        <is>
          <t>Merchandise sales</t>
        </is>
      </c>
      <c r="B7" s="11" t="inlineStr">
        <is>
          <t>Income</t>
        </is>
      </c>
      <c r="C7" s="11" t="inlineStr">
        <is>
          <t>Gross sales, excluding separately stated VAT</t>
        </is>
      </c>
      <c r="D7" s="11" t="inlineStr">
        <is>
          <t>Same income returns</t>
        </is>
      </c>
      <c r="E7" s="11" t="inlineStr">
        <is>
          <t>2550Q by VAT treatment or 2551Q when applicable</t>
        </is>
      </c>
      <c r="F7" s="11" t="inlineStr">
        <is>
          <t>2307 received when applicable</t>
        </is>
      </c>
      <c r="G7" s="11" t="inlineStr">
        <is>
          <t>Invoice, sale date, product tax treatment</t>
        </is>
      </c>
      <c r="H7" s="11" t="inlineStr">
        <is>
          <t>S1, S5</t>
        </is>
      </c>
    </row>
    <row r="8" ht="49" customHeight="1">
      <c r="A8" s="10" t="inlineStr">
        <is>
          <t>Sales returns and allowances</t>
        </is>
      </c>
      <c r="B8" s="10" t="inlineStr">
        <is>
          <t>Contra-income</t>
        </is>
      </c>
      <c r="C8" s="10" t="inlineStr">
        <is>
          <t>Documented refunds, credits and adjustments</t>
        </is>
      </c>
      <c r="D8" s="10" t="inlineStr">
        <is>
          <t>Reduce sales subject to form and tax rules</t>
        </is>
      </c>
      <c r="E8" s="10" t="inlineStr">
        <is>
          <t>Adjust output tax / sales when permitted</t>
        </is>
      </c>
      <c r="F8" s="10" t="inlineStr">
        <is>
          <t>Adjust withholding if required</t>
        </is>
      </c>
      <c r="G8" s="10" t="inlineStr">
        <is>
          <t>Credit note, original invoice</t>
        </is>
      </c>
      <c r="H8" s="10" t="inlineStr">
        <is>
          <t>S5, S11</t>
        </is>
      </c>
    </row>
    <row r="9" ht="49" customHeight="1">
      <c r="A9" s="11" t="inlineStr">
        <is>
          <t>Other business income</t>
        </is>
      </c>
      <c r="B9" s="11" t="inlineStr">
        <is>
          <t>Income</t>
        </is>
      </c>
      <c r="C9" s="11" t="inlineStr">
        <is>
          <t>Income that is not ordinary operating sales</t>
        </is>
      </c>
      <c r="D9" s="11" t="inlineStr">
        <is>
          <t>Other taxable income if applicable; include eligible items in 8% test/base</t>
        </is>
      </c>
      <c r="E9" s="11" t="inlineStr">
        <is>
          <t>Business tax depends on the transaction</t>
        </is>
      </c>
      <c r="F9" s="11" t="inlineStr">
        <is>
          <t>Withholding may apply</t>
        </is>
      </c>
      <c r="G9" s="11" t="inlineStr">
        <is>
          <t>Contract and settlement</t>
        </is>
      </c>
      <c r="H9" s="11" t="inlineStr">
        <is>
          <t>S2</t>
        </is>
      </c>
    </row>
    <row r="10" ht="49" customHeight="1">
      <c r="A10" s="10" t="inlineStr">
        <is>
          <t>Bank interest subject to final tax</t>
        </is>
      </c>
      <c r="B10" s="10" t="inlineStr">
        <is>
          <t>Income</t>
        </is>
      </c>
      <c r="C10" s="10" t="inlineStr">
        <is>
          <t>Separately identify income taxed finally</t>
        </is>
      </c>
      <c r="D10" s="10" t="inlineStr">
        <is>
          <t>Usually separately disclosed, not ordinary graduated/8% business base</t>
        </is>
      </c>
      <c r="E10" s="10" t="inlineStr">
        <is>
          <t>No automatic VAT consequence</t>
        </is>
      </c>
      <c r="F10" s="10" t="inlineStr">
        <is>
          <t>Final withholding is not 2307 CWT</t>
        </is>
      </c>
      <c r="G10" s="10" t="inlineStr">
        <is>
          <t>Bank statement, final tax evidence</t>
        </is>
      </c>
      <c r="H10" s="10" t="inlineStr">
        <is>
          <t>S4</t>
        </is>
      </c>
    </row>
    <row r="11" ht="49" customHeight="1">
      <c r="A11" s="11" t="inlineStr">
        <is>
          <t>VATable sales</t>
        </is>
      </c>
      <c r="B11" s="11" t="inlineStr">
        <is>
          <t>Tax attribute</t>
        </is>
      </c>
      <c r="C11" s="11" t="inlineStr">
        <is>
          <t>Base taxed at standard VAT rate when applicable</t>
        </is>
      </c>
      <c r="D11" s="11" t="inlineStr">
        <is>
          <t>Income return uses sales net of VAT</t>
        </is>
      </c>
      <c r="E11" s="11" t="inlineStr">
        <is>
          <t>2550Q taxable sales; output VAT</t>
        </is>
      </c>
      <c r="F11" s="11" t="inlineStr">
        <is>
          <t>Customer withholding is separate</t>
        </is>
      </c>
      <c r="G11" s="11" t="inlineStr">
        <is>
          <t>Valid invoice</t>
        </is>
      </c>
      <c r="H11" s="11" t="inlineStr">
        <is>
          <t>S5, S11</t>
        </is>
      </c>
    </row>
    <row r="12" ht="49" customHeight="1">
      <c r="A12" s="10" t="inlineStr">
        <is>
          <t>Zero-rated sales</t>
        </is>
      </c>
      <c r="B12" s="10" t="inlineStr">
        <is>
          <t>Tax attribute</t>
        </is>
      </c>
      <c r="C12" s="10" t="inlineStr">
        <is>
          <t>Qualifying 0% sales with evidence</t>
        </is>
      </c>
      <c r="D12" s="10" t="inlineStr">
        <is>
          <t>Income return includes income when taxable</t>
        </is>
      </c>
      <c r="E12" s="10" t="inlineStr">
        <is>
          <t>2550Q zero-rated sales; input VAT eligibility rules apply</t>
        </is>
      </c>
      <c r="F12" s="10" t="inlineStr">
        <is>
          <t>Possible CWT based on facts</t>
        </is>
      </c>
      <c r="G12" s="10" t="inlineStr">
        <is>
          <t>Contracts and zero-rating proof</t>
        </is>
      </c>
      <c r="H12" s="10" t="inlineStr">
        <is>
          <t>S5</t>
        </is>
      </c>
    </row>
    <row r="13" ht="49" customHeight="1">
      <c r="A13" s="11" t="inlineStr">
        <is>
          <t>VAT-exempt sales</t>
        </is>
      </c>
      <c r="B13" s="11" t="inlineStr">
        <is>
          <t>Tax attribute</t>
        </is>
      </c>
      <c r="C13" s="11" t="inlineStr">
        <is>
          <t>Legally exempt transaction</t>
        </is>
      </c>
      <c r="D13" s="11" t="inlineStr">
        <is>
          <t>Income-tax status assessed separately</t>
        </is>
      </c>
      <c r="E13" s="11" t="inlineStr">
        <is>
          <t>2550Q exempt sales if applicable; no automatic input credit</t>
        </is>
      </c>
      <c r="F13" s="11" t="inlineStr">
        <is>
          <t>No automatic withholding conclusion</t>
        </is>
      </c>
      <c r="G13" s="11" t="inlineStr">
        <is>
          <t>Invoice and exemption evidence</t>
        </is>
      </c>
      <c r="H13" s="11" t="inlineStr">
        <is>
          <t>S5</t>
        </is>
      </c>
    </row>
    <row r="14" ht="49" customHeight="1">
      <c r="A14" s="10" t="inlineStr">
        <is>
          <t>Non-VAT Section 116 sales</t>
        </is>
      </c>
      <c r="B14" s="10" t="inlineStr">
        <is>
          <t>Tax attribute</t>
        </is>
      </c>
      <c r="C14" s="10" t="inlineStr">
        <is>
          <t>Eligible non-VAT sales base</t>
        </is>
      </c>
      <c r="D14" s="10" t="inlineStr">
        <is>
          <t>Business income return as applicable</t>
        </is>
      </c>
      <c r="E14" s="10" t="inlineStr">
        <is>
          <t>2551Q Section 116; 8% election can replace it</t>
        </is>
      </c>
      <c r="F14" s="10" t="inlineStr">
        <is>
          <t>CWT remains separate</t>
        </is>
      </c>
      <c r="G14" s="10" t="inlineStr">
        <is>
          <t>Invoice, registration, election</t>
        </is>
      </c>
      <c r="H14" s="10" t="inlineStr">
        <is>
          <t>S2, S4</t>
        </is>
      </c>
    </row>
    <row r="15" ht="49" customHeight="1">
      <c r="A15" s="11" t="inlineStr">
        <is>
          <t>Output VAT</t>
        </is>
      </c>
      <c r="B15" s="11" t="inlineStr">
        <is>
          <t>Liability</t>
        </is>
      </c>
      <c r="C15" s="11" t="inlineStr">
        <is>
          <t>VAT collected or billed on taxable sales</t>
        </is>
      </c>
      <c r="D15" s="11" t="inlineStr">
        <is>
          <t>Not ordinary revenue</t>
        </is>
      </c>
      <c r="E15" s="11" t="inlineStr">
        <is>
          <t>2550Q output VAT and adjustments</t>
        </is>
      </c>
      <c r="F15" s="11" t="inlineStr">
        <is>
          <t>Not income tax withheld</t>
        </is>
      </c>
      <c r="G15" s="11" t="inlineStr">
        <is>
          <t>VAT invoices and sales register</t>
        </is>
      </c>
      <c r="H15" s="11" t="inlineStr">
        <is>
          <t>S5</t>
        </is>
      </c>
    </row>
    <row r="16" ht="49" customHeight="1">
      <c r="A16" s="10" t="inlineStr">
        <is>
          <t>Input VAT: goods</t>
        </is>
      </c>
      <c r="B16" s="10" t="inlineStr">
        <is>
          <t>Asset / tax credit</t>
        </is>
      </c>
      <c r="C16" s="10" t="inlineStr">
        <is>
          <t>Potentially creditable VAT on eligible purchases</t>
        </is>
      </c>
      <c r="D16" s="10" t="inlineStr">
        <is>
          <t>Generally separate from expense where creditable</t>
        </is>
      </c>
      <c r="E16" s="10" t="inlineStr">
        <is>
          <t>2550Q input tax on goods, subject to conditions</t>
        </is>
      </c>
      <c r="F16" s="10" t="inlineStr">
        <is>
          <t>Supplier withholding assessed separately</t>
        </is>
      </c>
      <c r="G16" s="10" t="inlineStr">
        <is>
          <t>Valid supplier VAT invoice</t>
        </is>
      </c>
      <c r="H16" s="10" t="inlineStr">
        <is>
          <t>S5, S11</t>
        </is>
      </c>
    </row>
    <row r="17" ht="49" customHeight="1">
      <c r="A17" s="11" t="inlineStr">
        <is>
          <t>Input VAT: capital goods</t>
        </is>
      </c>
      <c r="B17" s="11" t="inlineStr">
        <is>
          <t>Asset / tax credit</t>
        </is>
      </c>
      <c r="C17" s="11" t="inlineStr">
        <is>
          <t>Potentially creditable VAT on qualifying capital purchases</t>
        </is>
      </c>
      <c r="D17" s="11" t="inlineStr">
        <is>
          <t>Asset cost and depreciation separate</t>
        </is>
      </c>
      <c r="E17" s="11" t="inlineStr">
        <is>
          <t>2550Q capital-goods input tax, subject to conditions</t>
        </is>
      </c>
      <c r="F17" s="11" t="inlineStr">
        <is>
          <t>Supplier withholding assessed separately</t>
        </is>
      </c>
      <c r="G17" s="11" t="inlineStr">
        <is>
          <t>Supplier invoice and asset register</t>
        </is>
      </c>
      <c r="H17" s="11" t="inlineStr">
        <is>
          <t>S5</t>
        </is>
      </c>
    </row>
    <row r="18" ht="49" customHeight="1">
      <c r="A18" s="10" t="inlineStr">
        <is>
          <t>Input VAT: services</t>
        </is>
      </c>
      <c r="B18" s="10" t="inlineStr">
        <is>
          <t>Asset / tax credit</t>
        </is>
      </c>
      <c r="C18" s="10" t="inlineStr">
        <is>
          <t>Potentially creditable VAT on qualifying services</t>
        </is>
      </c>
      <c r="D18" s="10" t="inlineStr">
        <is>
          <t>Service expense is recorded net of creditable VAT</t>
        </is>
      </c>
      <c r="E18" s="10" t="inlineStr">
        <is>
          <t>2550Q input tax on services, subject to conditions</t>
        </is>
      </c>
      <c r="F18" s="10" t="inlineStr">
        <is>
          <t>Withholding assessed by transaction</t>
        </is>
      </c>
      <c r="G18" s="10" t="inlineStr">
        <is>
          <t>Valid supplier VAT invoice</t>
        </is>
      </c>
      <c r="H18" s="10" t="inlineStr">
        <is>
          <t>S5, S11</t>
        </is>
      </c>
    </row>
    <row r="19" ht="49" customHeight="1">
      <c r="A19" s="11" t="inlineStr">
        <is>
          <t>Inventory purchases</t>
        </is>
      </c>
      <c r="B19" s="11" t="inlineStr">
        <is>
          <t>Asset / cost</t>
        </is>
      </c>
      <c r="C19" s="11" t="inlineStr">
        <is>
          <t>Goods acquired for resale</t>
        </is>
      </c>
      <c r="D19" s="11" t="inlineStr">
        <is>
          <t>Flows to cost of sales when sold under accounting/tax rules</t>
        </is>
      </c>
      <c r="E19" s="11" t="inlineStr">
        <is>
          <t>VAT treatment depends on supplier and purchase</t>
        </is>
      </c>
      <c r="F19" s="11" t="inlineStr">
        <is>
          <t>Possible withholding based on payor and transaction</t>
        </is>
      </c>
      <c r="G19" s="11" t="inlineStr">
        <is>
          <t>Invoice and inventory records</t>
        </is>
      </c>
      <c r="H19" s="11" t="inlineStr">
        <is>
          <t>S1, S5</t>
        </is>
      </c>
    </row>
    <row r="20" ht="49" customHeight="1">
      <c r="A20" s="10" t="inlineStr">
        <is>
          <t>Cost of sales / services</t>
        </is>
      </c>
      <c r="B20" s="10" t="inlineStr">
        <is>
          <t>Cost</t>
        </is>
      </c>
      <c r="C20" s="10" t="inlineStr">
        <is>
          <t>Cost attributable to products sold / services delivered</t>
        </is>
      </c>
      <c r="D20" s="10" t="inlineStr">
        <is>
          <t>Itemized income-tax computation; OSD has different mechanics</t>
        </is>
      </c>
      <c r="E20" s="10" t="inlineStr">
        <is>
          <t>Purchase-related input VAT if eligible</t>
        </is>
      </c>
      <c r="F20" s="10" t="inlineStr">
        <is>
          <t>Supplier withholding may apply</t>
        </is>
      </c>
      <c r="G20" s="10" t="inlineStr">
        <is>
          <t>Inventory and direct-cost schedules</t>
        </is>
      </c>
      <c r="H20" s="10" t="inlineStr">
        <is>
          <t>S1, S2</t>
        </is>
      </c>
    </row>
    <row r="21" ht="49" customHeight="1">
      <c r="A21" s="11" t="inlineStr">
        <is>
          <t>Rent</t>
        </is>
      </c>
      <c r="B21" s="11" t="inlineStr">
        <is>
          <t>Expense</t>
        </is>
      </c>
      <c r="C21" s="11" t="inlineStr">
        <is>
          <t>Business-use premises rental</t>
        </is>
      </c>
      <c r="D21" s="11" t="inlineStr">
        <is>
          <t>Potential itemized deduction subject to rules</t>
        </is>
      </c>
      <c r="E21" s="11" t="inlineStr">
        <is>
          <t>Potential input VAT, if eligible</t>
        </is>
      </c>
      <c r="F21" s="11" t="inlineStr">
        <is>
          <t>Potential 0619-E / 1601-EQ / 2307</t>
        </is>
      </c>
      <c r="G21" s="11" t="inlineStr">
        <is>
          <t>Lease and invoice</t>
        </is>
      </c>
      <c r="H21" s="11" t="inlineStr">
        <is>
          <t>S1, S6</t>
        </is>
      </c>
    </row>
    <row r="22" ht="49" customHeight="1">
      <c r="A22" s="10" t="inlineStr">
        <is>
          <t>Professional fees</t>
        </is>
      </c>
      <c r="B22" s="10" t="inlineStr">
        <is>
          <t>Expense</t>
        </is>
      </c>
      <c r="C22" s="10" t="inlineStr">
        <is>
          <t>Accounting, legal, consultancy fees</t>
        </is>
      </c>
      <c r="D22" s="10" t="inlineStr">
        <is>
          <t>Potential itemized deduction subject to rules</t>
        </is>
      </c>
      <c r="E22" s="10" t="inlineStr">
        <is>
          <t>Potential input VAT, if eligible</t>
        </is>
      </c>
      <c r="F22" s="10" t="inlineStr">
        <is>
          <t>Potential withholding and 2307</t>
        </is>
      </c>
      <c r="G22" s="10" t="inlineStr">
        <is>
          <t>Contract and invoice</t>
        </is>
      </c>
      <c r="H22" s="10" t="inlineStr">
        <is>
          <t>S1, S6</t>
        </is>
      </c>
    </row>
    <row r="23" ht="49" customHeight="1">
      <c r="A23" s="11" t="inlineStr">
        <is>
          <t>Office supplies</t>
        </is>
      </c>
      <c r="B23" s="11" t="inlineStr">
        <is>
          <t>Expense</t>
        </is>
      </c>
      <c r="C23" s="11" t="inlineStr">
        <is>
          <t>Consumables for business use</t>
        </is>
      </c>
      <c r="D23" s="11" t="inlineStr">
        <is>
          <t>Potential itemized deduction subject to rules</t>
        </is>
      </c>
      <c r="E23" s="11" t="inlineStr">
        <is>
          <t>Potential input VAT, if eligible</t>
        </is>
      </c>
      <c r="F23" s="11" t="inlineStr">
        <is>
          <t>Potential EWT depends on payor and transaction</t>
        </is>
      </c>
      <c r="G23" s="11" t="inlineStr">
        <is>
          <t>Supplier invoice</t>
        </is>
      </c>
      <c r="H23" s="11" t="inlineStr">
        <is>
          <t>S1, S5, S6</t>
        </is>
      </c>
    </row>
    <row r="24" ht="49" customHeight="1">
      <c r="A24" s="10" t="inlineStr">
        <is>
          <t>Utilities</t>
        </is>
      </c>
      <c r="B24" s="10" t="inlineStr">
        <is>
          <t>Expense</t>
        </is>
      </c>
      <c r="C24" s="10" t="inlineStr">
        <is>
          <t>Business power, water and communications</t>
        </is>
      </c>
      <c r="D24" s="10" t="inlineStr">
        <is>
          <t>Potential itemized deduction subject to rules</t>
        </is>
      </c>
      <c r="E24" s="10" t="inlineStr">
        <is>
          <t>Potential input VAT, if eligible</t>
        </is>
      </c>
      <c r="F24" s="10" t="inlineStr">
        <is>
          <t>Withholding depends on specific rules</t>
        </is>
      </c>
      <c r="G24" s="10" t="inlineStr">
        <is>
          <t>Bill and invoice</t>
        </is>
      </c>
      <c r="H24" s="10" t="inlineStr">
        <is>
          <t>S1, S5</t>
        </is>
      </c>
    </row>
    <row r="25" ht="49" customHeight="1">
      <c r="A25" s="11" t="inlineStr">
        <is>
          <t>Advertising and marketing</t>
        </is>
      </c>
      <c r="B25" s="11" t="inlineStr">
        <is>
          <t>Expense</t>
        </is>
      </c>
      <c r="C25" s="11" t="inlineStr">
        <is>
          <t>Promotion of business</t>
        </is>
      </c>
      <c r="D25" s="11" t="inlineStr">
        <is>
          <t>Potential itemized deduction subject to rules</t>
        </is>
      </c>
      <c r="E25" s="11" t="inlineStr">
        <is>
          <t>Potential input VAT; foreign/digital service needs separate review</t>
        </is>
      </c>
      <c r="F25" s="11" t="inlineStr">
        <is>
          <t>Possible EWT or other withholding</t>
        </is>
      </c>
      <c r="G25" s="11" t="inlineStr">
        <is>
          <t>Contracts and invoice</t>
        </is>
      </c>
      <c r="H25" s="11" t="inlineStr">
        <is>
          <t>S1, S5, S6</t>
        </is>
      </c>
    </row>
    <row r="26" ht="49" customHeight="1">
      <c r="A26" s="10" t="inlineStr">
        <is>
          <t>Travel and meals</t>
        </is>
      </c>
      <c r="B26" s="10" t="inlineStr">
        <is>
          <t>Expense</t>
        </is>
      </c>
      <c r="C26" s="10" t="inlineStr">
        <is>
          <t>Business travel and eligible representation</t>
        </is>
      </c>
      <c r="D26" s="10" t="inlineStr">
        <is>
          <t>Potential itemized deduction, subject to restrictions</t>
        </is>
      </c>
      <c r="E26" s="10" t="inlineStr">
        <is>
          <t>Input VAT only when eligible and substantiated</t>
        </is>
      </c>
      <c r="F26" s="10" t="inlineStr">
        <is>
          <t>Withholding is fact-specific</t>
        </is>
      </c>
      <c r="G26" s="10" t="inlineStr">
        <is>
          <t>Invoice and business purpose</t>
        </is>
      </c>
      <c r="H26" s="10" t="inlineStr">
        <is>
          <t>S1, S5</t>
        </is>
      </c>
    </row>
    <row r="27" ht="49" customHeight="1">
      <c r="A27" s="11" t="inlineStr">
        <is>
          <t>Salaries and wages</t>
        </is>
      </c>
      <c r="B27" s="11" t="inlineStr">
        <is>
          <t>Expense</t>
        </is>
      </c>
      <c r="C27" s="11" t="inlineStr">
        <is>
          <t>Gross compensation, not just take-home pay</t>
        </is>
      </c>
      <c r="D27" s="11" t="inlineStr">
        <is>
          <t>Potential itemized deduction</t>
        </is>
      </c>
      <c r="E27" s="11" t="inlineStr">
        <is>
          <t>No input VAT merely on payroll</t>
        </is>
      </c>
      <c r="F27" s="11" t="inlineStr">
        <is>
          <t>1601-C, 1604-C, 2316; contributions separately</t>
        </is>
      </c>
      <c r="G27" s="11" t="inlineStr">
        <is>
          <t>Payroll register</t>
        </is>
      </c>
      <c r="H27" s="11" t="inlineStr">
        <is>
          <t>S1, S6</t>
        </is>
      </c>
    </row>
    <row r="28" ht="49" customHeight="1">
      <c r="A28" s="10" t="inlineStr">
        <is>
          <t>Employer benefit contributions</t>
        </is>
      </c>
      <c r="B28" s="10" t="inlineStr">
        <is>
          <t>Expense / liability</t>
        </is>
      </c>
      <c r="C28" s="10" t="inlineStr">
        <is>
          <t>Employer share of statutory contributions</t>
        </is>
      </c>
      <c r="D28" s="10" t="inlineStr">
        <is>
          <t>Potential itemized deduction under rules</t>
        </is>
      </c>
      <c r="E28" s="10" t="inlineStr">
        <is>
          <t>Not automatically input VAT</t>
        </is>
      </c>
      <c r="F28" s="10" t="inlineStr">
        <is>
          <t>Separate SSS, PhilHealth, Pag-IBIG filings as applicable</t>
        </is>
      </c>
      <c r="G28" s="10" t="inlineStr">
        <is>
          <t>Payroll and agency remittances</t>
        </is>
      </c>
      <c r="H28" s="10" t="inlineStr">
        <is>
          <t>S1</t>
        </is>
      </c>
    </row>
    <row r="29" ht="49" customHeight="1">
      <c r="A29" s="11" t="inlineStr">
        <is>
          <t>Depreciation</t>
        </is>
      </c>
      <c r="B29" s="11" t="inlineStr">
        <is>
          <t>Expense</t>
        </is>
      </c>
      <c r="C29" s="11" t="inlineStr">
        <is>
          <t>Systematic expense from depreciable fixed assets</t>
        </is>
      </c>
      <c r="D29" s="11" t="inlineStr">
        <is>
          <t>Potential itemized deduction with tax adjustments</t>
        </is>
      </c>
      <c r="E29" s="11" t="inlineStr">
        <is>
          <t>Input VAT belongs to purchase treatment, not depreciation itself</t>
        </is>
      </c>
      <c r="F29" s="11" t="inlineStr">
        <is>
          <t>No automatic EWT on depreciation entry</t>
        </is>
      </c>
      <c r="G29" s="11" t="inlineStr">
        <is>
          <t>Fixed-asset schedule</t>
        </is>
      </c>
      <c r="H29" s="11" t="inlineStr">
        <is>
          <t>S1</t>
        </is>
      </c>
    </row>
    <row r="30" ht="49" customHeight="1">
      <c r="A30" s="10" t="inlineStr">
        <is>
          <t>Fixed asset purchase</t>
        </is>
      </c>
      <c r="B30" s="10" t="inlineStr">
        <is>
          <t>Asset</t>
        </is>
      </c>
      <c r="C30" s="10" t="inlineStr">
        <is>
          <t>Laptop, furniture, equipment; capitalization depends on facts</t>
        </is>
      </c>
      <c r="D30" s="10" t="inlineStr">
        <is>
          <t>Generally asset and depreciation, not automatically full deduction</t>
        </is>
      </c>
      <c r="E30" s="10" t="inlineStr">
        <is>
          <t>Possible capital-goods input VAT</t>
        </is>
      </c>
      <c r="F30" s="10" t="inlineStr">
        <is>
          <t>Supplier withholding if applicable</t>
        </is>
      </c>
      <c r="G30" s="10" t="inlineStr">
        <is>
          <t>Invoice and asset register</t>
        </is>
      </c>
      <c r="H30" s="10" t="inlineStr">
        <is>
          <t>S1, S5</t>
        </is>
      </c>
    </row>
    <row r="31" ht="49" customHeight="1">
      <c r="A31" s="11" t="inlineStr">
        <is>
          <t>Taxes and licenses</t>
        </is>
      </c>
      <c r="B31" s="11" t="inlineStr">
        <is>
          <t>Expense</t>
        </is>
      </c>
      <c r="C31" s="11" t="inlineStr">
        <is>
          <t>Business taxes and local permits</t>
        </is>
      </c>
      <c r="D31" s="11" t="inlineStr">
        <is>
          <t>Certain taxes deductible subject to rules; income tax generally not</t>
        </is>
      </c>
      <c r="E31" s="11" t="inlineStr">
        <is>
          <t>Payment of VAT is not additional input VAT</t>
        </is>
      </c>
      <c r="F31" s="11" t="inlineStr">
        <is>
          <t>No automatic withholding</t>
        </is>
      </c>
      <c r="G31" s="11" t="inlineStr">
        <is>
          <t>Official tax/payment proof</t>
        </is>
      </c>
      <c r="H31" s="11" t="inlineStr">
        <is>
          <t>S1</t>
        </is>
      </c>
    </row>
    <row r="32" ht="49" customHeight="1">
      <c r="A32" s="10" t="inlineStr">
        <is>
          <t>Section 116 percentage tax</t>
        </is>
      </c>
      <c r="B32" s="10" t="inlineStr">
        <is>
          <t>Tax expense / liability</t>
        </is>
      </c>
      <c r="C32" s="10" t="inlineStr">
        <is>
          <t>3% tax where legally applicable</t>
        </is>
      </c>
      <c r="D32" s="10" t="inlineStr">
        <is>
          <t>Potential business-tax deduction under itemized rules, subject to conditions</t>
        </is>
      </c>
      <c r="E32" s="10" t="inlineStr">
        <is>
          <t>2551Q; not input VAT</t>
        </is>
      </c>
      <c r="F32" s="10" t="inlineStr">
        <is>
          <t>Separate from withholding</t>
        </is>
      </c>
      <c r="G32" s="10" t="inlineStr">
        <is>
          <t>Filed return and payment receipt</t>
        </is>
      </c>
      <c r="H32" s="10" t="inlineStr">
        <is>
          <t>S4</t>
        </is>
      </c>
    </row>
    <row r="33" ht="49" customHeight="1">
      <c r="A33" s="11" t="inlineStr">
        <is>
          <t>Income tax expense / payable</t>
        </is>
      </c>
      <c r="B33" s="11" t="inlineStr">
        <is>
          <t>Tax expense / liability</t>
        </is>
      </c>
      <c r="C33" s="11" t="inlineStr">
        <is>
          <t>Tax on profit or 8% income base</t>
        </is>
      </c>
      <c r="D33" s="11" t="inlineStr">
        <is>
          <t>Generally not a deductible business expense</t>
        </is>
      </c>
      <c r="E33" s="11" t="inlineStr">
        <is>
          <t>No automatic business-tax mapping</t>
        </is>
      </c>
      <c r="F33" s="11" t="inlineStr">
        <is>
          <t>Offsets and tax credits tracked separately</t>
        </is>
      </c>
      <c r="G33" s="11" t="inlineStr">
        <is>
          <t>Return and payment receipt</t>
        </is>
      </c>
      <c r="H33" s="11" t="inlineStr">
        <is>
          <t>S1</t>
        </is>
      </c>
    </row>
    <row r="34" ht="49" customHeight="1">
      <c r="A34" s="10" t="inlineStr">
        <is>
          <t>Creditable tax withheld by customer</t>
        </is>
      </c>
      <c r="B34" s="10" t="inlineStr">
        <is>
          <t>Asset / income-tax credit</t>
        </is>
      </c>
      <c r="C34" s="10" t="inlineStr">
        <is>
          <t>CWT from Form 2307; not reduction of gross sale</t>
        </is>
      </c>
      <c r="D34" s="10" t="inlineStr">
        <is>
          <t>Creditable withholding in 1701Q / annual or 1702 returns, subject to conditions</t>
        </is>
      </c>
      <c r="E34" s="10" t="inlineStr">
        <is>
          <t>Not input VAT</t>
        </is>
      </c>
      <c r="F34" s="10" t="inlineStr">
        <is>
          <t>Customer issues 2307; SAWT if required</t>
        </is>
      </c>
      <c r="G34" s="10" t="inlineStr">
        <is>
          <t>2307 and matching sale</t>
        </is>
      </c>
      <c r="H34" s="10" t="inlineStr">
        <is>
          <t>S2, S6</t>
        </is>
      </c>
    </row>
    <row r="35" ht="49" customHeight="1">
      <c r="A35" s="11" t="inlineStr">
        <is>
          <t>EWT withheld from supplier</t>
        </is>
      </c>
      <c r="B35" s="11" t="inlineStr">
        <is>
          <t>Liability</t>
        </is>
      </c>
      <c r="C35" s="11" t="inlineStr">
        <is>
          <t>Amount withheld by business as withholding agent</t>
        </is>
      </c>
      <c r="D35" s="11" t="inlineStr">
        <is>
          <t>Expense still assessed at gross; tax is remitted separately</t>
        </is>
      </c>
      <c r="E35" s="11" t="inlineStr">
        <is>
          <t>Independent of input / output VAT</t>
        </is>
      </c>
      <c r="F35" s="11" t="inlineStr">
        <is>
          <t>0619-E, 1601-EQ, QAP, 1604-E, 2307</t>
        </is>
      </c>
      <c r="G35" s="11" t="inlineStr">
        <is>
          <t>Invoice, ATC, 2307, remittance</t>
        </is>
      </c>
      <c r="H35" s="11" t="inlineStr">
        <is>
          <t>S6, S7</t>
        </is>
      </c>
    </row>
    <row r="36" ht="49" customHeight="1">
      <c r="A36" s="10" t="inlineStr">
        <is>
          <t>Payroll tax withheld</t>
        </is>
      </c>
      <c r="B36" s="10" t="inlineStr">
        <is>
          <t>Liability</t>
        </is>
      </c>
      <c r="C36" s="10" t="inlineStr">
        <is>
          <t>Tax deducted from employee gross compensation</t>
        </is>
      </c>
      <c r="D36" s="10" t="inlineStr">
        <is>
          <t>Payroll expense at gross compensation</t>
        </is>
      </c>
      <c r="E36" s="10" t="inlineStr">
        <is>
          <t>Not output VAT</t>
        </is>
      </c>
      <c r="F36" s="10" t="inlineStr">
        <is>
          <t>1601-C, 1604-C, employee 2316</t>
        </is>
      </c>
      <c r="G36" s="10" t="inlineStr">
        <is>
          <t>Payroll register and remittances</t>
        </is>
      </c>
      <c r="H36" s="10" t="inlineStr">
        <is>
          <t>S6</t>
        </is>
      </c>
    </row>
    <row r="37" ht="49" customHeight="1">
      <c r="A37" s="11" t="inlineStr">
        <is>
          <t>Owner capital contribution</t>
        </is>
      </c>
      <c r="B37" s="11" t="inlineStr">
        <is>
          <t>Equity</t>
        </is>
      </c>
      <c r="C37" s="11" t="inlineStr">
        <is>
          <t>Owner invests funds into business</t>
        </is>
      </c>
      <c r="D37" s="11" t="inlineStr">
        <is>
          <t>Usually not operating sales</t>
        </is>
      </c>
      <c r="E37" s="11" t="inlineStr">
        <is>
          <t>Not automatically VAT sales</t>
        </is>
      </c>
      <c r="F37" s="11" t="inlineStr">
        <is>
          <t>No automatic withholding</t>
        </is>
      </c>
      <c r="G37" s="11" t="inlineStr">
        <is>
          <t>Bank record and capital documentation</t>
        </is>
      </c>
      <c r="H37" s="11" t="inlineStr">
        <is>
          <t>S1</t>
        </is>
      </c>
    </row>
    <row r="38" ht="49" customHeight="1">
      <c r="A38" s="10" t="inlineStr">
        <is>
          <t>Owner drawings</t>
        </is>
      </c>
      <c r="B38" s="10" t="inlineStr">
        <is>
          <t>Equity</t>
        </is>
      </c>
      <c r="C38" s="10" t="inlineStr">
        <is>
          <t>Sole proprietor takes business cash personally</t>
        </is>
      </c>
      <c r="D38" s="10" t="inlineStr">
        <is>
          <t>Not an ordinary business expense</t>
        </is>
      </c>
      <c r="E38" s="10" t="inlineStr">
        <is>
          <t>No automatic VAT conclusion for goods withdrawn</t>
        </is>
      </c>
      <c r="F38" s="10" t="inlineStr">
        <is>
          <t>No automatic withholding</t>
        </is>
      </c>
      <c r="G38" s="10" t="inlineStr">
        <is>
          <t>Bank record and owner ledger</t>
        </is>
      </c>
      <c r="H38" s="10" t="inlineStr">
        <is>
          <t>S1</t>
        </is>
      </c>
    </row>
    <row r="39" ht="49" customHeight="1">
      <c r="A39" s="11" t="inlineStr">
        <is>
          <t>Loan principal received / repaid</t>
        </is>
      </c>
      <c r="B39" s="11" t="inlineStr">
        <is>
          <t>Liability</t>
        </is>
      </c>
      <c r="C39" s="11" t="inlineStr">
        <is>
          <t>Cash funding or principal repayment</t>
        </is>
      </c>
      <c r="D39" s="11" t="inlineStr">
        <is>
          <t>Usually not income or a deductible operating expense</t>
        </is>
      </c>
      <c r="E39" s="11" t="inlineStr">
        <is>
          <t>No automatic VAT on principal</t>
        </is>
      </c>
      <c r="F39" s="11" t="inlineStr">
        <is>
          <t>Interest may need separate withholding review</t>
        </is>
      </c>
      <c r="G39" s="11" t="inlineStr">
        <is>
          <t>Loan agreement and statement</t>
        </is>
      </c>
      <c r="H39" s="11" t="inlineStr">
        <is>
          <t>S1</t>
        </is>
      </c>
    </row>
    <row r="40" ht="49" customHeight="1">
      <c r="A40" s="10" t="inlineStr">
        <is>
          <t>Bank transfer between own accounts</t>
        </is>
      </c>
      <c r="B40" s="10" t="inlineStr">
        <is>
          <t>Asset transfer</t>
        </is>
      </c>
      <c r="C40" s="10" t="inlineStr">
        <is>
          <t>Movement within the same business</t>
        </is>
      </c>
      <c r="D40" s="10" t="inlineStr">
        <is>
          <t>Not revenue or expense</t>
        </is>
      </c>
      <c r="E40" s="10" t="inlineStr">
        <is>
          <t>Not a sale</t>
        </is>
      </c>
      <c r="F40" s="10" t="inlineStr">
        <is>
          <t>No withholding merely for the transfer</t>
        </is>
      </c>
      <c r="G40" s="10" t="inlineStr">
        <is>
          <t>Bank statements</t>
        </is>
      </c>
      <c r="H40" s="10" t="inlineStr">
        <is>
          <t>S1</t>
        </is>
      </c>
    </row>
    <row r="41" ht="49" customHeight="1">
      <c r="A41" s="11" t="inlineStr">
        <is>
          <t>Customer receivable</t>
        </is>
      </c>
      <c r="B41" s="11" t="inlineStr">
        <is>
          <t>Asset</t>
        </is>
      </c>
      <c r="C41" s="11" t="inlineStr">
        <is>
          <t>Unpaid customer invoice</t>
        </is>
      </c>
      <c r="D41" s="11" t="inlineStr">
        <is>
          <t>Recognition depends on applicable method and rules</t>
        </is>
      </c>
      <c r="E41" s="11" t="inlineStr">
        <is>
          <t>EOPT business-tax invoice timing can precede collection</t>
        </is>
      </c>
      <c r="F41" s="11" t="inlineStr">
        <is>
          <t>CWT requires matching support and timing review</t>
        </is>
      </c>
      <c r="G41" s="11" t="inlineStr">
        <is>
          <t>Invoice and aging schedule</t>
        </is>
      </c>
      <c r="H41" s="11" t="inlineStr">
        <is>
          <t>S5, S11</t>
        </is>
      </c>
    </row>
    <row r="42" ht="49" customHeight="1">
      <c r="A42" s="10" t="inlineStr">
        <is>
          <t>Supplier payable</t>
        </is>
      </c>
      <c r="B42" s="10" t="inlineStr">
        <is>
          <t>Liability</t>
        </is>
      </c>
      <c r="C42" s="10" t="inlineStr">
        <is>
          <t>Unpaid vendor invoice</t>
        </is>
      </c>
      <c r="D42" s="10" t="inlineStr">
        <is>
          <t>Expense or asset depends on underlying transaction</t>
        </is>
      </c>
      <c r="E42" s="10" t="inlineStr">
        <is>
          <t>Input VAT depends on applicable rules</t>
        </is>
      </c>
      <c r="F42" s="10" t="inlineStr">
        <is>
          <t>Withholding timing needs separate review</t>
        </is>
      </c>
      <c r="G42" s="10" t="inlineStr">
        <is>
          <t>Invoice and payable schedule</t>
        </is>
      </c>
      <c r="H42" s="10" t="inlineStr">
        <is>
          <t>S6, S11</t>
        </is>
      </c>
    </row>
    <row r="43" ht="49" customHeight="1">
      <c r="A43" s="11" t="inlineStr">
        <is>
          <t>Prior income-tax payments</t>
        </is>
      </c>
      <c r="B43" s="11" t="inlineStr">
        <is>
          <t>Tax asset / payment</t>
        </is>
      </c>
      <c r="C43" s="11" t="inlineStr">
        <is>
          <t>Quarterly income-tax payments</t>
        </is>
      </c>
      <c r="D43" s="11" t="inlineStr">
        <is>
          <t>Credit against annual liability; avoid double counting</t>
        </is>
      </c>
      <c r="E43" s="11" t="inlineStr">
        <is>
          <t>Separate from VAT and percentage tax</t>
        </is>
      </c>
      <c r="F43" s="11" t="inlineStr">
        <is>
          <t>Not customer CWT</t>
        </is>
      </c>
      <c r="G43" s="11" t="inlineStr">
        <is>
          <t>Filed return and payment confirmation</t>
        </is>
      </c>
      <c r="H43" s="11" t="inlineStr">
        <is>
          <t>S2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5" customWidth="1" min="1" max="1"/>
    <col width="30" customWidth="1" min="2" max="2"/>
    <col width="43" customWidth="1" min="3" max="3"/>
    <col width="46" customWidth="1" min="4" max="4"/>
    <col width="47" customWidth="1" min="5" max="5"/>
    <col width="14" customWidth="1" min="6" max="6"/>
  </cols>
  <sheetData>
    <row r="1" ht="24" customHeight="1">
      <c r="A1" s="1" t="inlineStr">
        <is>
          <t>BIR forms and timing</t>
        </is>
      </c>
    </row>
    <row r="2" ht="24" customHeight="1">
      <c r="A2" s="2" t="inlineStr">
        <is>
          <t>Use the form appropriate to the taxpayer and transaction; returns, certificates and lists have different roles.</t>
        </is>
      </c>
    </row>
    <row r="3" ht="24" customHeight="1">
      <c r="A3" s="3" t="inlineStr">
        <is>
          <t>General deadlines can change for eFPS, weekends, holidays, extensions and particular taxpayers. Verify the BIR calendar.</t>
        </is>
      </c>
    </row>
    <row r="5" ht="32" customHeight="1">
      <c r="A5" s="7" t="inlineStr">
        <is>
          <t>Form / schedule</t>
        </is>
      </c>
      <c r="B5" s="7" t="inlineStr">
        <is>
          <t>Purpose</t>
        </is>
      </c>
      <c r="C5" s="7" t="inlineStr">
        <is>
          <t>When it applies</t>
        </is>
      </c>
      <c r="D5" s="7" t="inlineStr">
        <is>
          <t>General timing</t>
        </is>
      </c>
      <c r="E5" s="7" t="inlineStr">
        <is>
          <t>Main bookkeeping inputs</t>
        </is>
      </c>
      <c r="F5" s="7" t="inlineStr">
        <is>
          <t>Sources</t>
        </is>
      </c>
    </row>
    <row r="6" ht="49" customHeight="1">
      <c r="A6" s="10" t="inlineStr">
        <is>
          <t>1700</t>
        </is>
      </c>
      <c r="B6" s="10" t="inlineStr">
        <is>
          <t>Employee annual income return</t>
        </is>
      </c>
      <c r="C6" s="10" t="inlineStr">
        <is>
          <t>Employee who must file and has eligible compensation / non-business income</t>
        </is>
      </c>
      <c r="D6" s="10" t="inlineStr">
        <is>
          <t>Annual, normally April 15</t>
        </is>
      </c>
      <c r="E6" s="10" t="inlineStr">
        <is>
          <t>2316 and supporting records</t>
        </is>
      </c>
      <c r="F6" s="10" t="inlineStr">
        <is>
          <t>S1, S9</t>
        </is>
      </c>
    </row>
    <row r="7" ht="49" customHeight="1">
      <c r="A7" s="11" t="inlineStr">
        <is>
          <t>1701Q</t>
        </is>
      </c>
      <c r="B7" s="11" t="inlineStr">
        <is>
          <t>Individual quarterly income tax</t>
        </is>
      </c>
      <c r="C7" s="11" t="inlineStr">
        <is>
          <t>Business / professional individual, estate or trust when required</t>
        </is>
      </c>
      <c r="D7" s="11" t="inlineStr">
        <is>
          <t>Q1 May 15; Q2 Aug 15; Q3 Nov 15</t>
        </is>
      </c>
      <c r="E7" s="11" t="inlineStr">
        <is>
          <t>Cumulative income, tax, 2307s and earlier quarterly payments</t>
        </is>
      </c>
      <c r="F7" s="11" t="inlineStr">
        <is>
          <t>S1, S2</t>
        </is>
      </c>
    </row>
    <row r="8" ht="49" customHeight="1">
      <c r="A8" s="10" t="inlineStr">
        <is>
          <t>1701</t>
        </is>
      </c>
      <c r="B8" s="10" t="inlineStr">
        <is>
          <t>Individual annual income tax</t>
        </is>
      </c>
      <c r="C8" s="10" t="inlineStr">
        <is>
          <t>Business / professional including mixed income, itemized or other applicable cases</t>
        </is>
      </c>
      <c r="D8" s="10" t="inlineStr">
        <is>
          <t>Annual, normally April 15</t>
        </is>
      </c>
      <c r="E8" s="10" t="inlineStr">
        <is>
          <t>Income schedules, allowable deductions, 2316 / 2307 and tax payments</t>
        </is>
      </c>
      <c r="F8" s="10" t="inlineStr">
        <is>
          <t>S1, S3</t>
        </is>
      </c>
    </row>
    <row r="9" ht="49" customHeight="1">
      <c r="A9" s="11" t="inlineStr">
        <is>
          <t>1701A</t>
        </is>
      </c>
      <c r="B9" s="11" t="inlineStr">
        <is>
          <t>Simplified annual income tax</t>
        </is>
      </c>
      <c r="C9" s="11" t="inlineStr">
        <is>
          <t>Pure business / professional individual: 8% or graduated + OSD</t>
        </is>
      </c>
      <c r="D9" s="11" t="inlineStr">
        <is>
          <t>Annual, normally April 15</t>
        </is>
      </c>
      <c r="E9" s="11" t="inlineStr">
        <is>
          <t>Income and qualifying credits; 2307 when applicable</t>
        </is>
      </c>
      <c r="F9" s="11" t="inlineStr">
        <is>
          <t>S1, S3</t>
        </is>
      </c>
    </row>
    <row r="10" ht="49" customHeight="1">
      <c r="A10" s="10" t="inlineStr">
        <is>
          <t>1701-MS</t>
        </is>
      </c>
      <c r="B10" s="10" t="inlineStr">
        <is>
          <t>Micro/small annual income tax</t>
        </is>
      </c>
      <c r="C10" s="10" t="inlineStr">
        <is>
          <t>Eligible micro/small individual under a single business income-tax rate</t>
        </is>
      </c>
      <c r="D10" s="10" t="inlineStr">
        <is>
          <t>Annual, normally April 15</t>
        </is>
      </c>
      <c r="E10" s="10" t="inlineStr">
        <is>
          <t>Alternative form; check current form eligibility and attachments</t>
        </is>
      </c>
      <c r="F10" s="10" t="inlineStr">
        <is>
          <t>S1, S3</t>
        </is>
      </c>
    </row>
    <row r="11" ht="49" customHeight="1">
      <c r="A11" s="11" t="inlineStr">
        <is>
          <t>1702Q</t>
        </is>
      </c>
      <c r="B11" s="11" t="inlineStr">
        <is>
          <t>Corporate quarterly income tax</t>
        </is>
      </c>
      <c r="C11" s="11" t="inlineStr">
        <is>
          <t>Corporation, partnership or other non-individual when required</t>
        </is>
      </c>
      <c r="D11" s="11" t="inlineStr">
        <is>
          <t>Within 60 days after each of first three taxable quarters</t>
        </is>
      </c>
      <c r="E11" s="11" t="inlineStr">
        <is>
          <t>Income, allowable deductions, withholding and prior payments</t>
        </is>
      </c>
      <c r="F11" s="11" t="inlineStr">
        <is>
          <t>S1, S15</t>
        </is>
      </c>
    </row>
    <row r="12" ht="49" customHeight="1">
      <c r="A12" s="10" t="inlineStr">
        <is>
          <t>1702-RT</t>
        </is>
      </c>
      <c r="B12" s="10" t="inlineStr">
        <is>
          <t>Annual income tax, regular</t>
        </is>
      </c>
      <c r="C12" s="10" t="inlineStr">
        <is>
          <t>Entity subject only to regular income tax</t>
        </is>
      </c>
      <c r="D12" s="10" t="inlineStr">
        <is>
          <t>15th day of fourth month after year end</t>
        </is>
      </c>
      <c r="E12" s="10" t="inlineStr">
        <is>
          <t>Financial schedules, adjusted taxable income, tax credits</t>
        </is>
      </c>
      <c r="F12" s="10" t="inlineStr">
        <is>
          <t>S1, S8</t>
        </is>
      </c>
    </row>
    <row r="13" ht="49" customHeight="1">
      <c r="A13" s="11" t="inlineStr">
        <is>
          <t>1702-EX</t>
        </is>
      </c>
      <c r="B13" s="11" t="inlineStr">
        <is>
          <t>Annual exempt-entity income return</t>
        </is>
      </c>
      <c r="C13" s="11" t="inlineStr">
        <is>
          <t>Qualifying exempt entity / GPP with no other taxable income</t>
        </is>
      </c>
      <c r="D13" s="11" t="inlineStr">
        <is>
          <t>15th day of fourth month after year end</t>
        </is>
      </c>
      <c r="E13" s="11" t="inlineStr">
        <is>
          <t>Exemption evidence and applicable schedules</t>
        </is>
      </c>
      <c r="F13" s="11" t="inlineStr">
        <is>
          <t>S1</t>
        </is>
      </c>
    </row>
    <row r="14" ht="49" customHeight="1">
      <c r="A14" s="10" t="inlineStr">
        <is>
          <t>1702-MX</t>
        </is>
      </c>
      <c r="B14" s="10" t="inlineStr">
        <is>
          <t>Annual mixed / special-rate income return</t>
        </is>
      </c>
      <c r="C14" s="10" t="inlineStr">
        <is>
          <t>Applicable multiple-rate or preferential-rate entity</t>
        </is>
      </c>
      <c r="D14" s="10" t="inlineStr">
        <is>
          <t>15th day of fourth month after year end</t>
        </is>
      </c>
      <c r="E14" s="10" t="inlineStr">
        <is>
          <t>Separate activity / rate computations and schedules</t>
        </is>
      </c>
      <c r="F14" s="10" t="inlineStr">
        <is>
          <t>S1, S8</t>
        </is>
      </c>
    </row>
    <row r="15" ht="49" customHeight="1">
      <c r="A15" s="11" t="inlineStr">
        <is>
          <t>2550Q</t>
        </is>
      </c>
      <c r="B15" s="11" t="inlineStr">
        <is>
          <t>Quarterly VAT return</t>
        </is>
      </c>
      <c r="C15" s="11" t="inlineStr">
        <is>
          <t>VAT-registered taxpayer or other entity required by rules</t>
        </is>
      </c>
      <c r="D15" s="11" t="inlineStr">
        <is>
          <t>Normally 25th day after close of taxable quarter</t>
        </is>
      </c>
      <c r="E15" s="11" t="inlineStr">
        <is>
          <t>Taxable, zero-rated and exempt sales; input VAT and credits</t>
        </is>
      </c>
      <c r="F15" s="11" t="inlineStr">
        <is>
          <t>S5, S15</t>
        </is>
      </c>
    </row>
    <row r="16" ht="49" customHeight="1">
      <c r="A16" s="10" t="inlineStr">
        <is>
          <t>2550M</t>
        </is>
      </c>
      <c r="B16" s="10" t="inlineStr">
        <is>
          <t>Monthly VAT declaration</t>
        </is>
      </c>
      <c r="C16" s="10" t="inlineStr">
        <is>
          <t>Optional monthly filing by VAT-registered taxpayer</t>
        </is>
      </c>
      <c r="D16" s="10" t="inlineStr">
        <is>
          <t>Optional; quarterly 2550Q remains mandatory</t>
        </is>
      </c>
      <c r="E16" s="10" t="inlineStr">
        <is>
          <t>Monthly declaration is not a substitute for 2550Q</t>
        </is>
      </c>
      <c r="F16" s="10" t="inlineStr">
        <is>
          <t>S12</t>
        </is>
      </c>
    </row>
    <row r="17" ht="49" customHeight="1">
      <c r="A17" s="11" t="inlineStr">
        <is>
          <t>2551Q</t>
        </is>
      </c>
      <c r="B17" s="11" t="inlineStr">
        <is>
          <t>Quarterly percentage tax</t>
        </is>
      </c>
      <c r="C17" s="11" t="inlineStr">
        <is>
          <t>Person subject to Section 116 or another tax covered by the form</t>
        </is>
      </c>
      <c r="D17" s="11" t="inlineStr">
        <is>
          <t>Normally 25th day after close of taxable quarter</t>
        </is>
      </c>
      <c r="E17" s="11" t="inlineStr">
        <is>
          <t>Gross receipts / sales by applicable tax code; rates vary</t>
        </is>
      </c>
      <c r="F17" s="11" t="inlineStr">
        <is>
          <t>S4</t>
        </is>
      </c>
    </row>
    <row r="18" ht="49" customHeight="1">
      <c r="A18" s="10" t="inlineStr">
        <is>
          <t>1601-C</t>
        </is>
      </c>
      <c r="B18" s="10" t="inlineStr">
        <is>
          <t>Compensation withholding remittance</t>
        </is>
      </c>
      <c r="C18" s="10" t="inlineStr">
        <is>
          <t>Employer or payer required to withhold compensation tax</t>
        </is>
      </c>
      <c r="D18" s="10" t="inlineStr">
        <is>
          <t>Generally 10th next month; Dec Jan 15 for manual; eFPS varies</t>
        </is>
      </c>
      <c r="E18" s="10" t="inlineStr">
        <is>
          <t>Payroll gross pay, taxable amounts and tax withheld</t>
        </is>
      </c>
      <c r="F18" s="10" t="inlineStr">
        <is>
          <t>S6</t>
        </is>
      </c>
    </row>
    <row r="19" ht="49" customHeight="1">
      <c r="A19" s="11" t="inlineStr">
        <is>
          <t>0619-E</t>
        </is>
      </c>
      <c r="B19" s="11" t="inlineStr">
        <is>
          <t>Monthly expanded withholding remittance</t>
        </is>
      </c>
      <c r="C19" s="11" t="inlineStr">
        <is>
          <t>Withholding agent required to withhold expanded tax</t>
        </is>
      </c>
      <c r="D19" s="11" t="inlineStr">
        <is>
          <t>First two months of quarter; generally 10th next month for manual</t>
        </is>
      </c>
      <c r="E19" s="11" t="inlineStr">
        <is>
          <t>Supplier, payment nature, ATC, tax base and rate</t>
        </is>
      </c>
      <c r="F19" s="11" t="inlineStr">
        <is>
          <t>S6, S7</t>
        </is>
      </c>
    </row>
    <row r="20" ht="49" customHeight="1">
      <c r="A20" s="10" t="inlineStr">
        <is>
          <t>1601-EQ + QAP</t>
        </is>
      </c>
      <c r="B20" s="10" t="inlineStr">
        <is>
          <t>Quarterly expanded withholding</t>
        </is>
      </c>
      <c r="C20" s="10" t="inlineStr">
        <is>
          <t>Withholding agent required to withhold expanded tax</t>
        </is>
      </c>
      <c r="D20" s="10" t="inlineStr">
        <is>
          <t>Generally last day of month after quarter</t>
        </is>
      </c>
      <c r="E20" s="10" t="inlineStr">
        <is>
          <t>Quarterly payee list; account for prior 0619-E payments</t>
        </is>
      </c>
      <c r="F20" s="10" t="inlineStr">
        <is>
          <t>S6, S7</t>
        </is>
      </c>
    </row>
    <row r="21" ht="49" customHeight="1">
      <c r="A21" s="11" t="inlineStr">
        <is>
          <t>1604-E</t>
        </is>
      </c>
      <c r="B21" s="11" t="inlineStr">
        <is>
          <t>Annual expanded withholding information</t>
        </is>
      </c>
      <c r="C21" s="11" t="inlineStr">
        <is>
          <t>Withholding agent / reportable income payments</t>
        </is>
      </c>
      <c r="D21" s="11" t="inlineStr">
        <is>
          <t>Normally March 1 following the year</t>
        </is>
      </c>
      <c r="E21" s="11" t="inlineStr">
        <is>
          <t>Annual payee alphalist and information</t>
        </is>
      </c>
      <c r="F21" s="11" t="inlineStr">
        <is>
          <t>S6</t>
        </is>
      </c>
    </row>
    <row r="22" ht="49" customHeight="1">
      <c r="A22" s="10" t="inlineStr">
        <is>
          <t>2307</t>
        </is>
      </c>
      <c r="B22" s="10" t="inlineStr">
        <is>
          <t>Creditable withholding certificate</t>
        </is>
      </c>
      <c r="C22" s="10" t="inlineStr">
        <is>
          <t>Issued by withholding agent to payee</t>
        </is>
      </c>
      <c r="D22" s="10" t="inlineStr">
        <is>
          <t>Normally within 20 days after quarter or on demand</t>
        </is>
      </c>
      <c r="E22" s="10" t="inlineStr">
        <is>
          <t>Seller uses eligible amount as income-tax credit; not a return</t>
        </is>
      </c>
      <c r="F22" s="10" t="inlineStr">
        <is>
          <t>S7</t>
        </is>
      </c>
    </row>
    <row r="23" ht="49" customHeight="1">
      <c r="A23" s="11" t="inlineStr">
        <is>
          <t>0619-F / 1601-FQ / 1604-F</t>
        </is>
      </c>
      <c r="B23" s="11" t="inlineStr">
        <is>
          <t>Final withholding forms</t>
        </is>
      </c>
      <c r="C23" s="11" t="inlineStr">
        <is>
          <t>Agent paying income subject to final withholding</t>
        </is>
      </c>
      <c r="D23" s="11" t="inlineStr">
        <is>
          <t>First two months, quarterly and annually, as applicable</t>
        </is>
      </c>
      <c r="E23" s="11" t="inlineStr">
        <is>
          <t>Nature and tax code decide treatment; some payments use special forms</t>
        </is>
      </c>
      <c r="F23" s="11" t="inlineStr">
        <is>
          <t>S6, S7</t>
        </is>
      </c>
    </row>
    <row r="24" ht="49" customHeight="1">
      <c r="A24" s="10" t="inlineStr">
        <is>
          <t>1604-C</t>
        </is>
      </c>
      <c r="B24" s="10" t="inlineStr">
        <is>
          <t>Annual compensation withholding information</t>
        </is>
      </c>
      <c r="C24" s="10" t="inlineStr">
        <is>
          <t>Employer / compensation withholding agent</t>
        </is>
      </c>
      <c r="D24" s="10" t="inlineStr">
        <is>
          <t>Normally January 31 following the year</t>
        </is>
      </c>
      <c r="E24" s="10" t="inlineStr">
        <is>
          <t>Annual employee alphalist and compensation data</t>
        </is>
      </c>
      <c r="F24" s="10" t="inlineStr">
        <is>
          <t>S6</t>
        </is>
      </c>
    </row>
    <row r="25" ht="49" customHeight="1">
      <c r="A25" s="11" t="inlineStr">
        <is>
          <t>2316</t>
        </is>
      </c>
      <c r="B25" s="11" t="inlineStr">
        <is>
          <t>Compensation and withholding certificate</t>
        </is>
      </c>
      <c r="C25" s="11" t="inlineStr">
        <is>
          <t>Employer gives to employees</t>
        </is>
      </c>
      <c r="D25" s="11" t="inlineStr">
        <is>
          <t>Annual or upon applicable separation</t>
        </is>
      </c>
      <c r="E25" s="11" t="inlineStr">
        <is>
          <t>Compensation, exemptions and tax withheld; supports 1700 / 1701</t>
        </is>
      </c>
      <c r="F25" s="11" t="inlineStr">
        <is>
          <t>S6, S9</t>
        </is>
      </c>
    </row>
    <row r="26" ht="49" customHeight="1">
      <c r="A26" s="10" t="inlineStr">
        <is>
          <t>SAWT</t>
        </is>
      </c>
      <c r="B26" s="10" t="inlineStr">
        <is>
          <t>Summary alphalist of withholding agents</t>
        </is>
      </c>
      <c r="C26" s="10" t="inlineStr">
        <is>
          <t>Payee claiming CWT where submission is required</t>
        </is>
      </c>
      <c r="D26" s="10" t="inlineStr">
        <is>
          <t>With applicable income return under current filing rules</t>
        </is>
      </c>
      <c r="E26" s="10" t="inlineStr">
        <is>
          <t>2307 payer-by-payer detail; confirm current submission method</t>
        </is>
      </c>
      <c r="F26" s="10" t="inlineStr">
        <is>
          <t>S2</t>
        </is>
      </c>
    </row>
    <row r="27" ht="49" customHeight="1">
      <c r="A27" s="11" t="inlineStr">
        <is>
          <t>1706</t>
        </is>
      </c>
      <c r="B27" s="11" t="inlineStr">
        <is>
          <t>Capital-gains return for qualifying real property</t>
        </is>
      </c>
      <c r="C27" s="11" t="inlineStr">
        <is>
          <t>Transfer of PH real property classified as capital asset</t>
        </is>
      </c>
      <c r="D27" s="11" t="inlineStr">
        <is>
          <t>Normally within 30 days of covered transfer</t>
        </is>
      </c>
      <c r="E27" s="11" t="inlineStr">
        <is>
          <t>Deed, values, title and tax assessment</t>
        </is>
      </c>
      <c r="F27" s="11" t="inlineStr">
        <is>
          <t>S13</t>
        </is>
      </c>
    </row>
    <row r="28" ht="49" customHeight="1">
      <c r="A28" s="10" t="inlineStr">
        <is>
          <t>1707 / 1707-A</t>
        </is>
      </c>
      <c r="B28" s="10" t="inlineStr">
        <is>
          <t>Capital-gains returns for qualifying unlisted shares</t>
        </is>
      </c>
      <c r="C28" s="10" t="inlineStr">
        <is>
          <t>Covered transfers of domestic shares not traded through local exchange</t>
        </is>
      </c>
      <c r="D28" s="10" t="inlineStr">
        <is>
          <t>1707 per transfer; 1707-A annual when required</t>
        </is>
      </c>
      <c r="E28" s="10" t="inlineStr">
        <is>
          <t>Transfer and valuation documentation</t>
        </is>
      </c>
      <c r="F28" s="10" t="inlineStr">
        <is>
          <t>S13</t>
        </is>
      </c>
    </row>
    <row r="29" ht="49" customHeight="1">
      <c r="A29" s="11" t="inlineStr">
        <is>
          <t>1800</t>
        </is>
      </c>
      <c r="B29" s="11" t="inlineStr">
        <is>
          <t>Donor’s tax</t>
        </is>
      </c>
      <c r="C29" s="11" t="inlineStr">
        <is>
          <t>Applicable transfer by gift</t>
        </is>
      </c>
      <c r="D29" s="11" t="inlineStr">
        <is>
          <t>Normally within 30 days of gift</t>
        </is>
      </c>
      <c r="E29" s="11" t="inlineStr">
        <is>
          <t>Gift documents, valuation and previous gifts</t>
        </is>
      </c>
      <c r="F29" s="11" t="inlineStr">
        <is>
          <t>S14</t>
        </is>
      </c>
    </row>
    <row r="30" ht="49" customHeight="1">
      <c r="A30" s="10" t="inlineStr">
        <is>
          <t>1801</t>
        </is>
      </c>
      <c r="B30" s="10" t="inlineStr">
        <is>
          <t>Estate tax</t>
        </is>
      </c>
      <c r="C30" s="10" t="inlineStr">
        <is>
          <t>Executor / administrator / heirs when filing conditions met</t>
        </is>
      </c>
      <c r="D30" s="10" t="inlineStr">
        <is>
          <t>Normally within one year after death</t>
        </is>
      </c>
      <c r="E30" s="10" t="inlineStr">
        <is>
          <t>Estate inventory, values and allowed deductions</t>
        </is>
      </c>
      <c r="F30" s="10" t="inlineStr">
        <is>
          <t>S14</t>
        </is>
      </c>
    </row>
    <row r="31" ht="49" customHeight="1">
      <c r="A31" s="11" t="inlineStr">
        <is>
          <t>2000 / 2000-OT</t>
        </is>
      </c>
      <c r="B31" s="11" t="inlineStr">
        <is>
          <t>Documentary stamp tax</t>
        </is>
      </c>
      <c r="C31" s="11" t="inlineStr">
        <is>
          <t>Taxable documents or one-time transactions</t>
        </is>
      </c>
      <c r="D31" s="11" t="inlineStr">
        <is>
          <t>Period depends on transaction and applicable return</t>
        </is>
      </c>
      <c r="E31" s="11" t="inlineStr">
        <is>
          <t>Agreement, deed, instrument and relevant tax rules</t>
        </is>
      </c>
      <c r="F31" s="11" t="inlineStr">
        <is>
          <t>S15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40" customWidth="1" min="1" max="1"/>
    <col width="18" customWidth="1" min="2" max="2"/>
    <col width="28" customWidth="1" min="3" max="3"/>
    <col width="21" customWidth="1" min="4" max="4"/>
    <col width="23" customWidth="1" min="5" max="5"/>
    <col width="23" customWidth="1" min="6" max="6"/>
    <col width="20" customWidth="1" min="7" max="7"/>
    <col width="21" customWidth="1" min="8" max="8"/>
    <col width="28" customWidth="1" min="9" max="9"/>
  </cols>
  <sheetData>
    <row r="1">
      <c r="A1" s="1" t="inlineStr">
        <is>
          <t>8% example: books to quarterly and annual returns</t>
        </is>
      </c>
    </row>
    <row r="2">
      <c r="A2" s="3" t="inlineStr">
        <is>
          <t>PHP. Hypothetical pure business taxpayer, valid 8% election, non-VAT. All sales carry 1% CWT solely for illustration.</t>
        </is>
      </c>
    </row>
    <row r="3">
      <c r="A3" s="3" t="inlineStr">
        <is>
          <t>Assumptions: eligible 2307s received in the same period; amounts due are paid in full; no other income, credits or overpayments.</t>
        </is>
      </c>
    </row>
    <row r="5" ht="23" customHeight="1">
      <c r="A5" s="16" t="inlineStr">
        <is>
          <t>Return period</t>
        </is>
      </c>
      <c r="B5" s="16" t="inlineStr">
        <is>
          <t>Q1</t>
        </is>
      </c>
      <c r="C5" s="16" t="inlineStr">
        <is>
          <t>Q2</t>
        </is>
      </c>
      <c r="D5" s="16" t="inlineStr">
        <is>
          <t>Q3</t>
        </is>
      </c>
      <c r="E5" s="16" t="inlineStr">
        <is>
          <t>Annual (includes Q4)</t>
        </is>
      </c>
      <c r="F5" s="17" t="n"/>
      <c r="G5" s="17" t="n"/>
      <c r="H5" s="17" t="n"/>
      <c r="I5" s="17" t="n"/>
    </row>
    <row r="6" ht="23" customHeight="1">
      <c r="A6" s="17" t="inlineStr">
        <is>
          <t>Return</t>
        </is>
      </c>
      <c r="B6" s="17" t="inlineStr">
        <is>
          <t>1701Q</t>
        </is>
      </c>
      <c r="C6" s="17" t="inlineStr">
        <is>
          <t>1701Q</t>
        </is>
      </c>
      <c r="D6" s="17" t="inlineStr">
        <is>
          <t>1701Q</t>
        </is>
      </c>
      <c r="E6" s="17" t="inlineStr">
        <is>
          <t>1701A / eligible 1701-MS</t>
        </is>
      </c>
      <c r="F6" s="17" t="n"/>
      <c r="G6" s="17" t="n"/>
      <c r="H6" s="17" t="n"/>
      <c r="I6" s="17" t="n"/>
    </row>
    <row r="7" ht="23" customHeight="1">
      <c r="A7" s="17" t="inlineStr">
        <is>
          <t>Sales year to date</t>
        </is>
      </c>
      <c r="B7" s="28">
        <f>SUMIF($A$21:$A$40,"Q1",$D$21:$D$40)</f>
        <v/>
      </c>
      <c r="C7" s="28">
        <f>B7+SUMIF($A$21:$A$40,"Q2",$D$21:$D$40)</f>
        <v/>
      </c>
      <c r="D7" s="28">
        <f>C7+SUMIF($A$21:$A$40,"Q3",$D$21:$D$40)</f>
        <v/>
      </c>
      <c r="E7" s="28">
        <f>D7+SUMIF($A$21:$A$40,"Q4",$D$21:$D$40)</f>
        <v/>
      </c>
      <c r="F7" s="17" t="n"/>
      <c r="G7" s="17" t="n"/>
      <c r="H7" s="17" t="n"/>
      <c r="I7" s="17" t="n"/>
    </row>
    <row r="8" ht="23" customHeight="1">
      <c r="A8" s="17" t="inlineStr">
        <is>
          <t>Other eligible business income year to date</t>
        </is>
      </c>
      <c r="B8" s="28">
        <f>SUMIF($A$21:$A$40,"Q1",$E$21:$E$40)</f>
        <v/>
      </c>
      <c r="C8" s="28">
        <f>B8+SUMIF($A$21:$A$40,"Q2",$E$21:$E$40)</f>
        <v/>
      </c>
      <c r="D8" s="28">
        <f>C8+SUMIF($A$21:$A$40,"Q3",$E$21:$E$40)</f>
        <v/>
      </c>
      <c r="E8" s="28">
        <f>D8+SUMIF($A$21:$A$40,"Q4",$E$21:$E$40)</f>
        <v/>
      </c>
      <c r="F8" s="17" t="n"/>
      <c r="G8" s="17" t="n"/>
      <c r="H8" s="17" t="n"/>
      <c r="I8" s="17" t="n"/>
    </row>
    <row r="9" ht="23" customHeight="1">
      <c r="A9" s="17" t="inlineStr">
        <is>
          <t>Pure-business reduction</t>
        </is>
      </c>
      <c r="B9" s="28">
        <f>$B$17</f>
        <v/>
      </c>
      <c r="C9" s="28">
        <f>$B$17</f>
        <v/>
      </c>
      <c r="D9" s="28">
        <f>$B$17</f>
        <v/>
      </c>
      <c r="E9" s="28">
        <f>$B$17</f>
        <v/>
      </c>
      <c r="F9" s="17" t="n"/>
      <c r="G9" s="17" t="n"/>
      <c r="H9" s="17" t="n"/>
      <c r="I9" s="17" t="n"/>
    </row>
    <row r="10" ht="23" customHeight="1">
      <c r="A10" s="17" t="inlineStr">
        <is>
          <t>8% taxable base</t>
        </is>
      </c>
      <c r="B10" s="28">
        <f>MAX(0,B7+B8-B9)</f>
        <v/>
      </c>
      <c r="C10" s="28">
        <f>MAX(0,C7+C8-C9)</f>
        <v/>
      </c>
      <c r="D10" s="28">
        <f>MAX(0,D7+D8-D9)</f>
        <v/>
      </c>
      <c r="E10" s="28">
        <f>MAX(0,E7+E8-E9)</f>
        <v/>
      </c>
      <c r="F10" s="17" t="n"/>
      <c r="G10" s="17" t="n"/>
      <c r="H10" s="17" t="n"/>
      <c r="I10" s="17" t="n"/>
    </row>
    <row r="11" ht="23" customHeight="1">
      <c r="A11" s="17" t="inlineStr">
        <is>
          <t>Income tax due year to date</t>
        </is>
      </c>
      <c r="B11" s="28">
        <f>B10*$B$18</f>
        <v/>
      </c>
      <c r="C11" s="28">
        <f>C10*$B$18</f>
        <v/>
      </c>
      <c r="D11" s="28">
        <f>D10*$B$18</f>
        <v/>
      </c>
      <c r="E11" s="28">
        <f>E10*$B$18</f>
        <v/>
      </c>
      <c r="F11" s="17" t="n"/>
      <c r="G11" s="17" t="n"/>
      <c r="H11" s="17" t="n"/>
      <c r="I11" s="17" t="n"/>
    </row>
    <row r="12" ht="23" customHeight="1">
      <c r="A12" s="17" t="inlineStr">
        <is>
          <t>Eligible CWT year to date</t>
        </is>
      </c>
      <c r="B12" s="28">
        <f>SUMIF($A$21:$A$40,"Q1",$G$21:$G$40)</f>
        <v/>
      </c>
      <c r="C12" s="28">
        <f>B12+SUMIF($A$21:$A$40,"Q2",$G$21:$G$40)</f>
        <v/>
      </c>
      <c r="D12" s="28">
        <f>C12+SUMIF($A$21:$A$40,"Q3",$G$21:$G$40)</f>
        <v/>
      </c>
      <c r="E12" s="28">
        <f>D12+SUMIF($A$21:$A$40,"Q4",$G$21:$G$40)</f>
        <v/>
      </c>
      <c r="F12" s="17" t="n"/>
      <c r="G12" s="17" t="n"/>
      <c r="H12" s="17" t="n"/>
      <c r="I12" s="17" t="n"/>
    </row>
    <row r="13" ht="23" customHeight="1">
      <c r="A13" s="17" t="inlineStr">
        <is>
          <t>Previous income-tax payments</t>
        </is>
      </c>
      <c r="B13" s="28">
        <f>0</f>
        <v/>
      </c>
      <c r="C13" s="28">
        <f>B13+B14</f>
        <v/>
      </c>
      <c r="D13" s="28">
        <f>C13+C14</f>
        <v/>
      </c>
      <c r="E13" s="28">
        <f>D13+D14</f>
        <v/>
      </c>
      <c r="F13" s="17" t="n"/>
      <c r="G13" s="17" t="n"/>
      <c r="H13" s="17" t="n"/>
      <c r="I13" s="17" t="n"/>
    </row>
    <row r="14" ht="23" customHeight="1">
      <c r="A14" s="23" t="inlineStr">
        <is>
          <t>Amount still payable</t>
        </is>
      </c>
      <c r="B14" s="29">
        <f>B11-B12-B13</f>
        <v/>
      </c>
      <c r="C14" s="29">
        <f>C11-C12-C13</f>
        <v/>
      </c>
      <c r="D14" s="29">
        <f>D11-D12-D13</f>
        <v/>
      </c>
      <c r="E14" s="29">
        <f>E11-E12-E13</f>
        <v/>
      </c>
      <c r="F14" s="17" t="n"/>
      <c r="G14" s="17" t="n"/>
      <c r="H14" s="17" t="n"/>
      <c r="I14" s="17" t="n"/>
    </row>
    <row r="15" ht="23" customHeight="1">
      <c r="A15" s="23" t="inlineStr">
        <is>
          <t>Overpayment (separate line, shown positive; correction 15)</t>
        </is>
      </c>
      <c r="B15" s="29">
        <f>MAX(0,-B14)</f>
        <v/>
      </c>
      <c r="C15" s="29">
        <f>MAX(0,-C14)</f>
        <v/>
      </c>
      <c r="D15" s="29">
        <f>MAX(0,-D14)</f>
        <v/>
      </c>
      <c r="E15" s="29">
        <f>MAX(0,-E14)</f>
        <v/>
      </c>
      <c r="F15" s="17" t="n"/>
      <c r="G15" s="17" t="n"/>
      <c r="H15" s="17" t="n"/>
      <c r="I15" s="17" t="n"/>
    </row>
    <row r="16" ht="23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 ht="23" customHeight="1">
      <c r="A17" s="17" t="inlineStr">
        <is>
          <t>Pure-business reduction</t>
        </is>
      </c>
      <c r="B17" s="30" t="n">
        <v>250000</v>
      </c>
      <c r="C17" s="17" t="n"/>
      <c r="D17" s="17" t="n"/>
      <c r="E17" s="17" t="n"/>
      <c r="F17" s="17" t="n"/>
      <c r="G17" s="17" t="n"/>
      <c r="H17" s="17" t="n"/>
      <c r="I17" s="17" t="n"/>
    </row>
    <row r="18" ht="23" customHeight="1">
      <c r="A18" s="17" t="inlineStr">
        <is>
          <t>Income-tax rate</t>
        </is>
      </c>
      <c r="B18" s="31" t="n">
        <v>0.08</v>
      </c>
      <c r="C18" s="17" t="n"/>
      <c r="D18" s="17" t="n"/>
      <c r="E18" s="17" t="n"/>
      <c r="F18" s="17" t="n"/>
      <c r="G18" s="17" t="n"/>
      <c r="H18" s="17" t="n"/>
      <c r="I18" s="17" t="n"/>
    </row>
    <row r="19" ht="23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 ht="23" customHeight="1">
      <c r="A20" s="16" t="inlineStr">
        <is>
          <t>Period</t>
        </is>
      </c>
      <c r="B20" s="16" t="inlineStr">
        <is>
          <t>Date</t>
        </is>
      </c>
      <c r="C20" s="16" t="inlineStr">
        <is>
          <t>Reference / purpose</t>
        </is>
      </c>
      <c r="D20" s="16" t="inlineStr">
        <is>
          <t>Gross sales</t>
        </is>
      </c>
      <c r="E20" s="16" t="inlineStr">
        <is>
          <t>Other eligible income</t>
        </is>
      </c>
      <c r="F20" s="16" t="inlineStr">
        <is>
          <t>Business expense</t>
        </is>
      </c>
      <c r="G20" s="16" t="inlineStr">
        <is>
          <t>CWT on sales</t>
        </is>
      </c>
      <c r="H20" s="16" t="inlineStr">
        <is>
          <t>Net cash</t>
        </is>
      </c>
      <c r="I20" s="16" t="inlineStr">
        <is>
          <t>Supporting evidence</t>
        </is>
      </c>
    </row>
    <row r="21" ht="23" customHeight="1">
      <c r="A21" s="18" t="inlineStr">
        <is>
          <t>Q1</t>
        </is>
      </c>
      <c r="B21" s="32" t="n">
        <v>46096</v>
      </c>
      <c r="C21" s="18" t="inlineStr">
        <is>
          <t>Service invoice</t>
        </is>
      </c>
      <c r="D21" s="33" t="n">
        <v>300000</v>
      </c>
      <c r="E21" s="33" t="n">
        <v>0</v>
      </c>
      <c r="F21" s="33" t="n">
        <v>0</v>
      </c>
      <c r="G21" s="33" t="n">
        <v>3000</v>
      </c>
      <c r="H21" s="28">
        <f>IF(A21="","",D21+E21-F21-G21)</f>
        <v/>
      </c>
      <c r="I21" s="18" t="inlineStr">
        <is>
          <t>Invoice + 2307</t>
        </is>
      </c>
    </row>
    <row r="22" ht="23" customHeight="1">
      <c r="A22" s="18" t="inlineStr">
        <is>
          <t>Q1</t>
        </is>
      </c>
      <c r="B22" s="32" t="n">
        <v>46101</v>
      </c>
      <c r="C22" s="18" t="inlineStr">
        <is>
          <t>Business expense</t>
        </is>
      </c>
      <c r="D22" s="33" t="n">
        <v>0</v>
      </c>
      <c r="E22" s="33" t="n">
        <v>0</v>
      </c>
      <c r="F22" s="33" t="n">
        <v>40000</v>
      </c>
      <c r="G22" s="33" t="n">
        <v>0</v>
      </c>
      <c r="H22" s="28">
        <f>IF(A22="","",D22+E22-F22-G22)</f>
        <v/>
      </c>
      <c r="I22" s="18" t="inlineStr">
        <is>
          <t>Supplier invoice</t>
        </is>
      </c>
    </row>
    <row r="23" ht="23" customHeight="1">
      <c r="A23" s="18" t="inlineStr">
        <is>
          <t>Q2</t>
        </is>
      </c>
      <c r="B23" s="32" t="n">
        <v>46188</v>
      </c>
      <c r="C23" s="18" t="inlineStr">
        <is>
          <t>Service invoice</t>
        </is>
      </c>
      <c r="D23" s="33" t="n">
        <v>300000</v>
      </c>
      <c r="E23" s="33" t="n">
        <v>0</v>
      </c>
      <c r="F23" s="33" t="n">
        <v>0</v>
      </c>
      <c r="G23" s="33" t="n">
        <v>3000</v>
      </c>
      <c r="H23" s="28">
        <f>IF(A23="","",D23+E23-F23-G23)</f>
        <v/>
      </c>
      <c r="I23" s="18" t="inlineStr">
        <is>
          <t>Invoice + 2307</t>
        </is>
      </c>
    </row>
    <row r="24" ht="23" customHeight="1">
      <c r="A24" s="18" t="inlineStr">
        <is>
          <t>Q3</t>
        </is>
      </c>
      <c r="B24" s="32" t="n">
        <v>46280</v>
      </c>
      <c r="C24" s="18" t="inlineStr">
        <is>
          <t>Service invoice</t>
        </is>
      </c>
      <c r="D24" s="33" t="n">
        <v>300000</v>
      </c>
      <c r="E24" s="33" t="n">
        <v>0</v>
      </c>
      <c r="F24" s="33" t="n">
        <v>0</v>
      </c>
      <c r="G24" s="33" t="n">
        <v>3000</v>
      </c>
      <c r="H24" s="28">
        <f>IF(A24="","",D24+E24-F24-G24)</f>
        <v/>
      </c>
      <c r="I24" s="18" t="inlineStr">
        <is>
          <t>Invoice + 2307</t>
        </is>
      </c>
    </row>
    <row r="25" ht="23" customHeight="1">
      <c r="A25" s="18" t="inlineStr">
        <is>
          <t>Q4</t>
        </is>
      </c>
      <c r="B25" s="32" t="n">
        <v>46371</v>
      </c>
      <c r="C25" s="18" t="inlineStr">
        <is>
          <t>Service invoice (illustrative)</t>
        </is>
      </c>
      <c r="D25" s="33" t="n">
        <v>300000</v>
      </c>
      <c r="E25" s="33" t="n">
        <v>0</v>
      </c>
      <c r="F25" s="33" t="n">
        <v>0</v>
      </c>
      <c r="G25" s="33" t="n">
        <v>3000</v>
      </c>
      <c r="H25" s="28">
        <f>IF(A25="","",D25+E25-F25-G25)</f>
        <v/>
      </c>
      <c r="I25" s="18" t="inlineStr">
        <is>
          <t>Invoice + 2307</t>
        </is>
      </c>
    </row>
    <row r="26" ht="23" customHeight="1">
      <c r="A26" s="18" t="n"/>
      <c r="B26" s="32" t="n"/>
      <c r="C26" s="18" t="n"/>
      <c r="D26" s="33" t="n"/>
      <c r="E26" s="33" t="n"/>
      <c r="F26" s="33" t="n"/>
      <c r="G26" s="33" t="n"/>
      <c r="H26" s="28">
        <f>IF(A26="","",D26+E26-F26-G26)</f>
        <v/>
      </c>
      <c r="I26" s="18" t="n"/>
    </row>
    <row r="27" ht="23" customHeight="1">
      <c r="A27" s="18" t="n"/>
      <c r="B27" s="32" t="n"/>
      <c r="C27" s="18" t="n"/>
      <c r="D27" s="33" t="n"/>
      <c r="E27" s="33" t="n"/>
      <c r="F27" s="33" t="n"/>
      <c r="G27" s="33" t="n"/>
      <c r="H27" s="28">
        <f>IF(A27="","",D27+E27-F27-G27)</f>
        <v/>
      </c>
      <c r="I27" s="18" t="n"/>
    </row>
    <row r="28" ht="23" customHeight="1">
      <c r="A28" s="18" t="n"/>
      <c r="B28" s="32" t="n"/>
      <c r="C28" s="18" t="n"/>
      <c r="D28" s="33" t="n"/>
      <c r="E28" s="33" t="n"/>
      <c r="F28" s="33" t="n"/>
      <c r="G28" s="33" t="n"/>
      <c r="H28" s="28">
        <f>IF(A28="","",D28+E28-F28-G28)</f>
        <v/>
      </c>
      <c r="I28" s="18" t="n"/>
    </row>
    <row r="29" ht="23" customHeight="1">
      <c r="A29" s="18" t="n"/>
      <c r="B29" s="32" t="n"/>
      <c r="C29" s="18" t="n"/>
      <c r="D29" s="33" t="n"/>
      <c r="E29" s="33" t="n"/>
      <c r="F29" s="33" t="n"/>
      <c r="G29" s="33" t="n"/>
      <c r="H29" s="28">
        <f>IF(A29="","",D29+E29-F29-G29)</f>
        <v/>
      </c>
      <c r="I29" s="18" t="n"/>
    </row>
    <row r="30" ht="23" customHeight="1">
      <c r="A30" s="18" t="n"/>
      <c r="B30" s="32" t="n"/>
      <c r="C30" s="18" t="n"/>
      <c r="D30" s="33" t="n"/>
      <c r="E30" s="33" t="n"/>
      <c r="F30" s="33" t="n"/>
      <c r="G30" s="33" t="n"/>
      <c r="H30" s="28">
        <f>IF(A30="","",D30+E30-F30-G30)</f>
        <v/>
      </c>
      <c r="I30" s="18" t="n"/>
    </row>
    <row r="31" ht="23" customHeight="1">
      <c r="A31" s="18" t="n"/>
      <c r="B31" s="32" t="n"/>
      <c r="C31" s="18" t="n"/>
      <c r="D31" s="33" t="n"/>
      <c r="E31" s="33" t="n"/>
      <c r="F31" s="33" t="n"/>
      <c r="G31" s="33" t="n"/>
      <c r="H31" s="28">
        <f>IF(A31="","",D31+E31-F31-G31)</f>
        <v/>
      </c>
      <c r="I31" s="18" t="n"/>
    </row>
    <row r="32" ht="23" customHeight="1">
      <c r="A32" s="18" t="n"/>
      <c r="B32" s="32" t="n"/>
      <c r="C32" s="18" t="n"/>
      <c r="D32" s="33" t="n"/>
      <c r="E32" s="33" t="n"/>
      <c r="F32" s="33" t="n"/>
      <c r="G32" s="33" t="n"/>
      <c r="H32" s="28">
        <f>IF(A32="","",D32+E32-F32-G32)</f>
        <v/>
      </c>
      <c r="I32" s="18" t="n"/>
    </row>
    <row r="33" ht="23" customHeight="1">
      <c r="A33" s="18" t="n"/>
      <c r="B33" s="32" t="n"/>
      <c r="C33" s="18" t="n"/>
      <c r="D33" s="33" t="n"/>
      <c r="E33" s="33" t="n"/>
      <c r="F33" s="33" t="n"/>
      <c r="G33" s="33" t="n"/>
      <c r="H33" s="28">
        <f>IF(A33="","",D33+E33-F33-G33)</f>
        <v/>
      </c>
      <c r="I33" s="18" t="n"/>
    </row>
    <row r="34" ht="23" customHeight="1">
      <c r="A34" s="18" t="n"/>
      <c r="B34" s="32" t="n"/>
      <c r="C34" s="18" t="n"/>
      <c r="D34" s="33" t="n"/>
      <c r="E34" s="33" t="n"/>
      <c r="F34" s="33" t="n"/>
      <c r="G34" s="33" t="n"/>
      <c r="H34" s="28">
        <f>IF(A34="","",D34+E34-F34-G34)</f>
        <v/>
      </c>
      <c r="I34" s="18" t="n"/>
    </row>
    <row r="35" ht="23" customHeight="1">
      <c r="A35" s="18" t="n"/>
      <c r="B35" s="32" t="n"/>
      <c r="C35" s="18" t="n"/>
      <c r="D35" s="33" t="n"/>
      <c r="E35" s="33" t="n"/>
      <c r="F35" s="33" t="n"/>
      <c r="G35" s="33" t="n"/>
      <c r="H35" s="28">
        <f>IF(A35="","",D35+E35-F35-G35)</f>
        <v/>
      </c>
      <c r="I35" s="18" t="n"/>
    </row>
    <row r="36" ht="23" customHeight="1">
      <c r="A36" s="18" t="n"/>
      <c r="B36" s="32" t="n"/>
      <c r="C36" s="18" t="n"/>
      <c r="D36" s="33" t="n"/>
      <c r="E36" s="33" t="n"/>
      <c r="F36" s="33" t="n"/>
      <c r="G36" s="33" t="n"/>
      <c r="H36" s="28">
        <f>IF(A36="","",D36+E36-F36-G36)</f>
        <v/>
      </c>
      <c r="I36" s="18" t="n"/>
    </row>
    <row r="37" ht="23" customHeight="1">
      <c r="A37" s="18" t="n"/>
      <c r="B37" s="32" t="n"/>
      <c r="C37" s="18" t="n"/>
      <c r="D37" s="33" t="n"/>
      <c r="E37" s="33" t="n"/>
      <c r="F37" s="33" t="n"/>
      <c r="G37" s="33" t="n"/>
      <c r="H37" s="28">
        <f>IF(A37="","",D37+E37-F37-G37)</f>
        <v/>
      </c>
      <c r="I37" s="18" t="n"/>
    </row>
    <row r="38" ht="23" customHeight="1">
      <c r="A38" s="18" t="n"/>
      <c r="B38" s="32" t="n"/>
      <c r="C38" s="18" t="n"/>
      <c r="D38" s="33" t="n"/>
      <c r="E38" s="33" t="n"/>
      <c r="F38" s="33" t="n"/>
      <c r="G38" s="33" t="n"/>
      <c r="H38" s="28">
        <f>IF(A38="","",D38+E38-F38-G38)</f>
        <v/>
      </c>
      <c r="I38" s="18" t="n"/>
    </row>
    <row r="39" ht="23" customHeight="1">
      <c r="A39" s="18" t="n"/>
      <c r="B39" s="32" t="n"/>
      <c r="C39" s="18" t="n"/>
      <c r="D39" s="33" t="n"/>
      <c r="E39" s="33" t="n"/>
      <c r="F39" s="33" t="n"/>
      <c r="G39" s="33" t="n"/>
      <c r="H39" s="28">
        <f>IF(A39="","",D39+E39-F39-G39)</f>
        <v/>
      </c>
      <c r="I39" s="18" t="n"/>
    </row>
    <row r="40" ht="23" customHeight="1">
      <c r="A40" s="18" t="n"/>
      <c r="B40" s="32" t="n"/>
      <c r="C40" s="18" t="n"/>
      <c r="D40" s="33" t="n"/>
      <c r="E40" s="33" t="n"/>
      <c r="F40" s="33" t="n"/>
      <c r="G40" s="33" t="n"/>
      <c r="H40" s="28">
        <f>IF(A40="","",D40+E40-F40-G40)</f>
        <v/>
      </c>
      <c r="I40" s="18" t="n"/>
    </row>
    <row r="41" ht="23" customHeight="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 ht="23" customHeight="1">
      <c r="A42" s="21" t="inlineStr">
        <is>
          <t>Expense is recorded for bookkeeping but is not deducted in this 8% computation. Source: S2 and S3.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 ht="23" customHeight="1">
      <c r="A43" s="21" t="inlineStr">
        <is>
          <t>This narrow example does not handle threshold breaches, excess credits, unpaid tax, VAT, adjustments or other income regimes.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2" customWidth="1" min="1" max="1"/>
    <col width="32" customWidth="1" min="2" max="2"/>
    <col width="75" customWidth="1" min="3" max="3"/>
    <col width="90" customWidth="1" min="4" max="4"/>
  </cols>
  <sheetData>
    <row r="1" ht="24" customHeight="1">
      <c r="A1" s="1" t="inlineStr">
        <is>
          <t>Primary sources</t>
        </is>
      </c>
    </row>
    <row r="2" ht="24" customHeight="1">
      <c r="A2" s="2" t="inlineStr">
        <is>
          <t>Bureau of Internal Revenue sources consulted on 28 Oct 2026.</t>
        </is>
      </c>
    </row>
    <row r="3" ht="24" customHeight="1">
      <c r="A3" s="3" t="inlineStr">
        <is>
          <t>Source IDs on other sheets point here. Always check the version and current guidance applicable to the filing period.</t>
        </is>
      </c>
    </row>
    <row r="5" ht="32" customHeight="1">
      <c r="A5" s="7" t="inlineStr">
        <is>
          <t>ID</t>
        </is>
      </c>
      <c r="B5" s="7" t="inlineStr">
        <is>
          <t>Source</t>
        </is>
      </c>
      <c r="C5" s="7" t="inlineStr">
        <is>
          <t>Use</t>
        </is>
      </c>
      <c r="D5" s="7" t="inlineStr">
        <is>
          <t>URL</t>
        </is>
      </c>
    </row>
    <row r="6" ht="49" customHeight="1">
      <c r="A6" s="10" t="inlineStr">
        <is>
          <t>S1</t>
        </is>
      </c>
      <c r="B6" s="10" t="inlineStr">
        <is>
          <t>BIR forms index</t>
        </is>
      </c>
      <c r="C6" s="10" t="inlineStr">
        <is>
          <t>Official descriptions and filing dates for income-tax forms</t>
        </is>
      </c>
      <c r="D6" s="10" t="inlineStr">
        <is>
          <t>https://www.bir.gov.ph/bir-forms?datasetCode=3381&amp;idTag=BIR1701&amp;label=1701&amp;tab=Income+Tax+Return&amp;type=TAB+LINK</t>
        </is>
      </c>
    </row>
    <row r="7" ht="49" customHeight="1">
      <c r="A7" s="11" t="inlineStr">
        <is>
          <t>S2</t>
        </is>
      </c>
      <c r="B7" s="11" t="inlineStr">
        <is>
          <t>RR 8-2018</t>
        </is>
      </c>
      <c r="C7" s="11" t="inlineStr">
        <is>
          <t>8% election, threshold breach, GPP and tax computation</t>
        </is>
      </c>
      <c r="D7" s="11" t="inlineStr">
        <is>
          <t>https://bir-cdn.bir.gov.ph/local/pdf/RR%20No.%208-2018.pdf</t>
        </is>
      </c>
    </row>
    <row r="8" ht="49" customHeight="1">
      <c r="A8" s="10" t="inlineStr">
        <is>
          <t>S3</t>
        </is>
      </c>
      <c r="B8" s="10" t="inlineStr">
        <is>
          <t>RMC 20-2026 Annex C</t>
        </is>
      </c>
      <c r="C8" s="10" t="inlineStr">
        <is>
          <t>1701 / 1701A / 1701-MS options for eligible micro and small taxpayers Annex C is the TY2025 FAQ ('on filing the 2025 annual income tax return'); TY2026 applicability is UNKNOWN (verify s2 #80) (correction 25).</t>
        </is>
      </c>
      <c r="D8" s="10" t="inlineStr">
        <is>
          <t>https://bir-cdn.bir.gov.ph/BIR/pdf/RMC%2020-2026%20Annex%20C%20%283%29.pdf</t>
        </is>
      </c>
    </row>
    <row r="9" ht="49" customHeight="1">
      <c r="A9" s="11" t="inlineStr">
        <is>
          <t>S4</t>
        </is>
      </c>
      <c r="B9" s="11" t="inlineStr">
        <is>
          <t>BIR 2551Q guide</t>
        </is>
      </c>
      <c r="C9" s="11" t="inlineStr">
        <is>
          <t>Percentage-tax applicability and general quarterly due date</t>
        </is>
      </c>
      <c r="D9" s="11" t="inlineStr">
        <is>
          <t>https://bir-cdn.bir.gov.ph/local/pdf/2551Q_%20Jan%202018%20Guide.pdf</t>
        </is>
      </c>
    </row>
    <row r="10" ht="49" customHeight="1">
      <c r="A10" s="10" t="inlineStr">
        <is>
          <t>S5</t>
        </is>
      </c>
      <c r="B10" s="10" t="inlineStr">
        <is>
          <t>RR 3-2024</t>
        </is>
      </c>
      <c r="C10" s="10" t="inlineStr">
        <is>
          <t>EOPT VAT / percentage-tax sales recognition and invoicing</t>
        </is>
      </c>
      <c r="D10" s="10" t="inlineStr">
        <is>
          <t>https://bir-cdn.bir.gov.ph/BIR/pdf/RR%203-2024%20%28final%29.pdf</t>
        </is>
      </c>
    </row>
    <row r="11" ht="49" customHeight="1">
      <c r="A11" s="11" t="inlineStr">
        <is>
          <t>S6</t>
        </is>
      </c>
      <c r="B11" s="11" t="inlineStr">
        <is>
          <t>BIR payment and remittance forms</t>
        </is>
      </c>
      <c r="C11" s="11" t="inlineStr">
        <is>
          <t>Descriptions and filing dates for withholding returns</t>
        </is>
      </c>
      <c r="D11" s="11" t="inlineStr">
        <is>
          <t>https://www.bir.gov.ph/bir-forms?idTag=BIR0605&amp;tab=Payment%2FRemittance+Forms&amp;type=TAB+LINK</t>
        </is>
      </c>
    </row>
    <row r="12" ht="49" customHeight="1">
      <c r="A12" s="10" t="inlineStr">
        <is>
          <t>S7</t>
        </is>
      </c>
      <c r="B12" s="10" t="inlineStr">
        <is>
          <t>RMC 50-2018</t>
        </is>
      </c>
      <c r="C12" s="10" t="inlineStr">
        <is>
          <t>Withholding forms, first-two-month remittances, 2307 and alphalists</t>
        </is>
      </c>
      <c r="D12" s="10" t="inlineStr">
        <is>
          <t>https://bir-cdn.bir.gov.ph/local/pdf/RMC%20No%2050-2018.pdf</t>
        </is>
      </c>
    </row>
    <row r="13" ht="49" customHeight="1">
      <c r="A13" s="11" t="inlineStr">
        <is>
          <t>S8</t>
        </is>
      </c>
      <c r="B13" s="11" t="inlineStr">
        <is>
          <t>RR 7-2025 digest</t>
        </is>
      </c>
      <c r="C13" s="11" t="inlineStr">
        <is>
          <t>Regular and applicable preferential corporate income-tax rates</t>
        </is>
      </c>
      <c r="D13" s="11" t="inlineStr">
        <is>
          <t>https://bir-cdn.bir.gov.ph/BIR/pdf/RR%207-2025.pdf</t>
        </is>
      </c>
    </row>
    <row r="14" ht="49" customHeight="1">
      <c r="A14" s="10" t="inlineStr">
        <is>
          <t>S9</t>
        </is>
      </c>
      <c r="B14" s="10" t="inlineStr">
        <is>
          <t>RR 11-2018 digest</t>
        </is>
      </c>
      <c r="C14" s="10" t="inlineStr">
        <is>
          <t>Substituted filing conditions for employees</t>
        </is>
      </c>
      <c r="D14" s="10" t="inlineStr">
        <is>
          <t>https://bir-cdn.bir.gov.ph/local/pdf/Digest%20RR%2011-2018.pdf</t>
        </is>
      </c>
    </row>
    <row r="15" ht="49" customHeight="1">
      <c r="A15" s="11" t="inlineStr">
        <is>
          <t>S10</t>
        </is>
      </c>
      <c r="B15" s="11" t="inlineStr">
        <is>
          <t>RMC 112-2026</t>
        </is>
      </c>
      <c r="C15" s="11" t="inlineStr">
        <is>
          <t>CWT on invoices; transitions and supporting certificates</t>
        </is>
      </c>
      <c r="D15" s="11" t="inlineStr">
        <is>
          <t>https://bir-cdn.bir.gov.ph/BIR/pdf/RMC%20No.%20112-2026_redacted.pdf</t>
        </is>
      </c>
    </row>
    <row r="16" ht="49" customHeight="1">
      <c r="A16" s="10" t="inlineStr">
        <is>
          <t>S11</t>
        </is>
      </c>
      <c r="B16" s="10" t="inlineStr">
        <is>
          <t>RR 7-2024</t>
        </is>
      </c>
      <c r="C16" s="10" t="inlineStr">
        <is>
          <t>Registration and invoicing under the EOPT Act</t>
        </is>
      </c>
      <c r="D16" s="10" t="inlineStr">
        <is>
          <t>https://bir-cdn.bir.gov.ph/BIR/pdf/RR%20No.%207-%202024.pdf</t>
        </is>
      </c>
    </row>
    <row r="17" ht="49" customHeight="1">
      <c r="A17" s="11" t="inlineStr">
        <is>
          <t>S12</t>
        </is>
      </c>
      <c r="B17" s="11" t="inlineStr">
        <is>
          <t>RMC 52-2023</t>
        </is>
      </c>
      <c r="C17" s="11" t="inlineStr">
        <is>
          <t>Optional monthly VAT filing; mandatory quarterly return</t>
        </is>
      </c>
      <c r="D17" s="11" t="inlineStr">
        <is>
          <t>https://bir-cdn.bir.gov.ph/local/pdf/RMC%20No.%2052-2023%20%281%29.pdf</t>
        </is>
      </c>
    </row>
    <row r="18" ht="49" customHeight="1">
      <c r="A18" s="10" t="inlineStr">
        <is>
          <t>S13</t>
        </is>
      </c>
      <c r="B18" s="10" t="inlineStr">
        <is>
          <t>BIR income-tax form descriptions</t>
        </is>
      </c>
      <c r="C18" s="10" t="inlineStr">
        <is>
          <t>1706, 1707 and 1707-A applicability and timing</t>
        </is>
      </c>
      <c r="D18" s="10" t="inlineStr">
        <is>
          <t>https://www.bir.gov.ph/bir-forms?datasetCode=3381&amp;idTag=BIR1702-EX&amp;label=1702-EX&amp;tab=Income+Tax+Return&amp;type=TAB+LINK</t>
        </is>
      </c>
    </row>
    <row r="19" ht="49" customHeight="1">
      <c r="A19" s="11" t="inlineStr">
        <is>
          <t>S14</t>
        </is>
      </c>
      <c r="B19" s="11" t="inlineStr">
        <is>
          <t>BIR transfer-tax forms</t>
        </is>
      </c>
      <c r="C19" s="11" t="inlineStr">
        <is>
          <t>1800 donor and 1801 estate tax</t>
        </is>
      </c>
      <c r="D19" s="11" t="inlineStr">
        <is>
          <t>https://www.bir.gov.ph/bir-forms?tab=Transfer+Tax+Return</t>
        </is>
      </c>
    </row>
    <row r="20" ht="49" customHeight="1">
      <c r="A20" s="10" t="inlineStr">
        <is>
          <t>S15</t>
        </is>
      </c>
      <c r="B20" s="10" t="inlineStr">
        <is>
          <t>BIR eFPS FAQ</t>
        </is>
      </c>
      <c r="C20" s="10" t="inlineStr">
        <is>
          <t>General income-tax and VAT return deadlines</t>
        </is>
      </c>
      <c r="D20" s="10" t="inlineStr">
        <is>
          <t>https://efps.bir.gov.ph/eFPSFAQ.html</t>
        </is>
      </c>
    </row>
    <row r="21" ht="49" customHeight="1">
      <c r="A21" s="11" t="inlineStr">
        <is>
          <t>S16</t>
        </is>
      </c>
      <c r="B21" s="11" t="inlineStr">
        <is>
          <t>RMC 98-2026</t>
        </is>
      </c>
      <c r="C21" s="11" t="inlineStr">
        <is>
          <t>Electronic invoice rules, covered taxpayers and office-productivity documents</t>
        </is>
      </c>
      <c r="D21" s="11" t="inlineStr">
        <is>
          <t>https://bir-cdn.bir.gov.ph/BIR/pdf/RMC%20No.%2098-2026%20redacted.pdf</t>
        </is>
      </c>
    </row>
    <row r="22" ht="49" customHeight="1">
      <c r="A22" s="10" t="inlineStr">
        <is>
          <t>S17</t>
        </is>
      </c>
      <c r="B22" s="10" t="inlineStr">
        <is>
          <t>BIR 2026 issuances</t>
        </is>
      </c>
      <c r="C22" s="10" t="inlineStr">
        <is>
          <t>Current circulars including system-related extensions</t>
        </is>
      </c>
      <c r="D22" s="10" t="inlineStr">
        <is>
          <t>https://www.bir.gov.ph/2026-Revenue-Memorandum-Circulars?label=2026&amp;type=PAGE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24" customWidth="1" min="4" max="4"/>
    <col width="48" customWidth="1" min="5" max="5"/>
    <col width="36" customWidth="1" min="6" max="6"/>
    <col width="26" customWidth="1" min="7" max="7"/>
    <col width="60" customWidth="1" min="8" max="8"/>
  </cols>
  <sheetData>
    <row r="1">
      <c r="A1" s="34" t="inlineStr">
        <is>
          <t>Corrections log: research workbook (applied from research/spreadsheet-corrections.md)</t>
        </is>
      </c>
    </row>
    <row r="2">
      <c r="A2" t="inlineStr">
        <is>
          <t>Corrections are applied from research/spreadsheet-corrections.md (W2, 2026-10-29). Workbook labels: Form-map = Buwiz_Tax_Profiles_Categories_Form_Fields.xlsx; Form-map-2 = Philippine_Bookkeeping_and_BIR_Form_Map.xlsx. Items are numbered as in sheets.md section 6; extra items are numbered 36 onward.</t>
        </is>
      </c>
    </row>
    <row r="4">
      <c r="A4" s="35" t="inlineStr">
        <is>
          <t>#</t>
        </is>
      </c>
      <c r="B4" s="35" t="inlineStr">
        <is>
          <t>Workbook</t>
        </is>
      </c>
      <c r="C4" s="35" t="inlineStr">
        <is>
          <t>Sheet</t>
        </is>
      </c>
      <c r="D4" s="35" t="inlineStr">
        <is>
          <t>Cell(s)</t>
        </is>
      </c>
      <c r="E4" s="35" t="inlineStr">
        <is>
          <t>Correction</t>
        </is>
      </c>
      <c r="F4" s="35" t="inlineStr">
        <is>
          <t>verify.md verdict</t>
        </is>
      </c>
      <c r="G4" s="35" t="inlineStr">
        <is>
          <t>Action</t>
        </is>
      </c>
      <c r="H4" s="35" t="inlineStr">
        <is>
          <t>What changed or why</t>
        </is>
      </c>
    </row>
    <row r="5">
      <c r="A5" s="36" t="n">
        <v>1</v>
      </c>
      <c r="B5" s="36" t="inlineStr">
        <is>
          <t>Form-map</t>
        </is>
      </c>
      <c r="C5" s="36" t="inlineStr">
        <is>
          <t>Worked example</t>
        </is>
      </c>
      <c r="D5" s="36" t="inlineStr">
        <is>
          <t>A12:B12, C12</t>
        </is>
      </c>
      <c r="E5" s="36" t="inlineStr">
        <is>
          <t>Relabel II.24 as II.19 'Tax still payable' (II.14 - II.18). Add II.14 and II.24 rows.</t>
        </is>
      </c>
      <c r="F5" s="36" t="inlineStr">
        <is>
          <t>CONFIRMED (#46)</t>
        </is>
      </c>
      <c r="G5" s="36" t="inlineStr">
        <is>
          <t>APPLIED</t>
        </is>
      </c>
      <c r="H5" s="36" t="inlineStr">
        <is>
          <t>Relabelled A12 to '2551Q II.19'. Added II.14 (row 40) and II.24 (row 41) with formulas.</t>
        </is>
      </c>
    </row>
    <row r="6">
      <c r="A6" s="36" t="n">
        <v>2</v>
      </c>
      <c r="B6" s="36" t="inlineStr">
        <is>
          <t>Form-map</t>
        </is>
      </c>
      <c r="C6" s="36" t="inlineStr">
        <is>
          <t>Worked example</t>
        </is>
      </c>
      <c r="D6" s="36" t="inlineStr">
        <is>
          <t>C11, A11:B11</t>
        </is>
      </c>
      <c r="E6" s="36" t="inlineStr">
        <is>
          <t>II.18 must be II.15 + II.16 + II.17 (value 0 unchanged).</t>
        </is>
      </c>
      <c r="F6" s="36" t="inlineStr">
        <is>
          <t>CONFIRMED (#45)</t>
        </is>
      </c>
      <c r="G6" s="36" t="inlineStr">
        <is>
          <t>APPLIED</t>
        </is>
      </c>
      <c r="H6" s="36" t="inlineStr">
        <is>
          <t>C11 is now '=C10+0+0'. II.16 and II.17 have no rows here and are zero.</t>
        </is>
      </c>
    </row>
    <row r="7">
      <c r="A7" s="36" t="n">
        <v>3</v>
      </c>
      <c r="B7" s="36" t="inlineStr">
        <is>
          <t>Form-map</t>
        </is>
      </c>
      <c r="C7" s="36" t="inlineStr">
        <is>
          <t>Worked example</t>
        </is>
      </c>
      <c r="D7" s="36" t="inlineStr">
        <is>
          <t>A25:B25, C25</t>
        </is>
      </c>
      <c r="E7" s="36" t="inlineStr">
        <is>
          <t>Relabel II.36 as II.31 (II.27 - II.30). Add II.36 = II.31 + II.35.</t>
        </is>
      </c>
      <c r="F7" s="36" t="inlineStr">
        <is>
          <t>CONFIRMED (#48)</t>
        </is>
      </c>
      <c r="G7" s="36" t="inlineStr">
        <is>
          <t>APPLIED</t>
        </is>
      </c>
      <c r="H7" s="36" t="inlineStr">
        <is>
          <t>A25 = '1601-C II.31'. II.36 added as row 42 (=C25+0; II.35 is zero).</t>
        </is>
      </c>
    </row>
    <row r="8">
      <c r="A8" s="36" t="n">
        <v>4</v>
      </c>
      <c r="B8" s="36" t="inlineStr">
        <is>
          <t>Form-map</t>
        </is>
      </c>
      <c r="C8" s="36" t="inlineStr">
        <is>
          <t>Worked example</t>
        </is>
      </c>
      <c r="D8" s="36" t="inlineStr">
        <is>
          <t>C17, D17</t>
        </is>
      </c>
      <c r="E8" s="36" t="inlineStr">
        <is>
          <t>II.21 must sum II.15 to II.20 (value 4,000 unchanged).</t>
        </is>
      </c>
      <c r="F8" s="36" t="inlineStr">
        <is>
          <t>CONFIRMED (#47)</t>
        </is>
      </c>
      <c r="G8" s="36" t="inlineStr">
        <is>
          <t>APPLIED</t>
        </is>
      </c>
      <c r="H8" s="36" t="inlineStr">
        <is>
          <t>C17 is now '=0+0+0+C15+C16+0' (II.15-II.17 and II.20 are zero here).</t>
        </is>
      </c>
    </row>
    <row r="9">
      <c r="A9" s="36" t="n">
        <v>5</v>
      </c>
      <c r="B9" s="36" t="inlineStr">
        <is>
          <t>Form-map</t>
        </is>
      </c>
      <c r="C9" s="36" t="inlineStr">
        <is>
          <t>Worked example</t>
        </is>
      </c>
      <c r="D9" s="36" t="inlineStr">
        <is>
          <t>C33, B33, D33</t>
        </is>
      </c>
      <c r="E9" s="36" t="inlineStr">
        <is>
          <t>Graduated tax applies to IV.15 = IV.3 + IV.14. Add IV.3 (= 0). Value unchanged (85,300).</t>
        </is>
      </c>
      <c r="F9" s="36" t="inlineStr">
        <is>
          <t>CONFIRMED (#50)</t>
        </is>
      </c>
      <c r="G9" s="36" t="inlineStr">
        <is>
          <t>APPLIED</t>
        </is>
      </c>
      <c r="H9" s="36" t="inlineStr">
        <is>
          <t>C33 applies to (C43+C32). IV.3 added as row 43 = 0.</t>
        </is>
      </c>
    </row>
    <row r="10">
      <c r="A10" s="36" t="n">
        <v>6</v>
      </c>
      <c r="B10" s="36" t="inlineStr">
        <is>
          <t>Form-map</t>
        </is>
      </c>
      <c r="C10" s="36" t="inlineStr">
        <is>
          <t>Worked example</t>
        </is>
      </c>
      <c r="D10" s="36" t="inlineStr">
        <is>
          <t>C37, A37:B37</t>
        </is>
      </c>
      <c r="E10" s="36" t="inlineStr">
        <is>
          <t>V.10 must sum V.1 to V.9 (value 52,300 unchanged).</t>
        </is>
      </c>
      <c r="F10" s="36" t="inlineStr">
        <is>
          <t>UNCONFIRMED (#54)</t>
        </is>
      </c>
      <c r="G10" s="36" t="inlineStr">
        <is>
          <t>NOT APPLIED (needs review)</t>
        </is>
      </c>
      <c r="H10" s="36" t="inlineStr">
        <is>
          <t>Left as is. The worked example sums V.2 to V.4 only. The E99 formula in the field tab reads 'Sum V.1 through V.9' (text).</t>
        </is>
      </c>
    </row>
    <row r="11">
      <c r="A11" s="36" t="n">
        <v>7</v>
      </c>
      <c r="B11" s="36" t="inlineStr">
        <is>
          <t>Form-map</t>
        </is>
      </c>
      <c r="C11" s="36" t="inlineStr">
        <is>
          <t>Worked example</t>
        </is>
      </c>
      <c r="D11" s="36" t="inlineStr">
        <is>
          <t>A39:B39, C39, D39</t>
        </is>
      </c>
      <c r="E11" s="36" t="inlineStr">
        <is>
          <t>Show the chain II.23 -&gt; II.25 -&gt; II.27 -&gt; II.29 (value 33,000 unchanged).</t>
        </is>
      </c>
      <c r="F11" s="36" t="inlineStr">
        <is>
          <t>CONFIRMED (#53)</t>
        </is>
      </c>
      <c r="G11" s="36" t="inlineStr">
        <is>
          <t>APPLIED</t>
        </is>
      </c>
      <c r="H11" s="36" t="inlineStr">
        <is>
          <t>A39 = '1701-MS II.25'; C39 = C44 - C38. II.23, II.27, II.29 added as rows 44-46.</t>
        </is>
      </c>
    </row>
    <row r="12">
      <c r="A12" s="36" t="n">
        <v>8</v>
      </c>
      <c r="B12" s="36" t="inlineStr">
        <is>
          <t>Form-map</t>
        </is>
      </c>
      <c r="C12" s="36" t="inlineStr">
        <is>
          <t>Example data</t>
        </is>
      </c>
      <c r="D12" s="36" t="inlineStr">
        <is>
          <t>H17</t>
        </is>
      </c>
      <c r="E12" s="36" t="inlineStr">
        <is>
          <t>Change 2808.4 to 2,808.33 under the annualized method, or document the payroll source.</t>
        </is>
      </c>
      <c r="F12" s="36" t="inlineStr">
        <is>
          <t>UNCONFIRMED (#49): arithmetic CONFIRMED, payroll method UNCONFIRMED</t>
        </is>
      </c>
      <c r="G12" s="36" t="inlineStr">
        <is>
          <t>NOT APPLIED (needs review)</t>
        </is>
      </c>
      <c r="H12" s="36" t="inlineStr">
        <is>
          <t>Left at 2808.4. The annualized figure is arithmetic only; the payroll withholding method is not verified.</t>
        </is>
      </c>
    </row>
    <row r="13">
      <c r="A13" s="36" t="n">
        <v>9</v>
      </c>
      <c r="B13" s="36" t="inlineStr">
        <is>
          <t>Form-map</t>
        </is>
      </c>
      <c r="C13" s="36" t="inlineStr">
        <is>
          <t>Example data</t>
        </is>
      </c>
      <c r="D13" s="36" t="inlineStr">
        <is>
          <t>H8</t>
        </is>
      </c>
      <c r="E13" s="36" t="inlineStr">
        <is>
          <t>Confirm the INV-Q3 2307 amount (2,900 vs 3,000 peers). If 3,000, the worked example changes.</t>
        </is>
      </c>
      <c r="F13" s="36" t="inlineStr">
        <is>
          <t>UNCONFIRMED (#52)</t>
        </is>
      </c>
      <c r="G13" s="36" t="inlineStr">
        <is>
          <t>NOT APPLIED (needs review)</t>
        </is>
      </c>
      <c r="H13" s="36" t="inlineStr">
        <is>
          <t>Left at 2900. Whether 2,900 is an error is not established.</t>
        </is>
      </c>
    </row>
    <row r="14">
      <c r="A14" s="36" t="n">
        <v>10</v>
      </c>
      <c r="B14" s="36" t="inlineStr">
        <is>
          <t>Form-map</t>
        </is>
      </c>
      <c r="C14" s="36" t="inlineStr">
        <is>
          <t>Example data</t>
        </is>
      </c>
      <c r="D14" s="36" t="inlineStr">
        <is>
          <t>A12, I12</t>
        </is>
      </c>
      <c r="E14" s="36" t="inlineStr">
        <is>
          <t>PAY-Q3 holds one month of payroll (September). Relabel as September or add July and August.</t>
        </is>
      </c>
      <c r="F14" s="36" t="inlineStr">
        <is>
          <t>CONFIRMED (#55)</t>
        </is>
      </c>
      <c r="G14" s="36" t="inlineStr">
        <is>
          <t>APPLIED</t>
        </is>
      </c>
      <c r="H14" s="36" t="inlineStr">
        <is>
          <t>A12 = 'PAY-SEP'. I12 notes 'September 2026 only; July and August absent'.</t>
        </is>
      </c>
    </row>
    <row r="15">
      <c r="A15" s="36" t="n">
        <v>11</v>
      </c>
      <c r="B15" s="36" t="inlineStr">
        <is>
          <t>Form-map</t>
        </is>
      </c>
      <c r="C15" s="36" t="inlineStr">
        <is>
          <t>(none)</t>
        </is>
      </c>
      <c r="D15" s="36" t="inlineStr">
        <is>
          <t>-</t>
        </is>
      </c>
      <c r="E15" s="36" t="inlineStr">
        <is>
          <t>No change: Worked example C8 and C30 are consistent with code.</t>
        </is>
      </c>
      <c r="F15" s="36" t="inlineStr">
        <is>
          <t>n/a (sheets.md s9)</t>
        </is>
      </c>
      <c r="G15" s="36" t="inlineStr">
        <is>
          <t>NO CHANGE</t>
        </is>
      </c>
      <c r="H15" s="36" t="inlineStr">
        <is>
          <t>No action.</t>
        </is>
      </c>
    </row>
    <row r="16">
      <c r="A16" s="36" t="n">
        <v>12</v>
      </c>
      <c r="B16" s="36" t="inlineStr">
        <is>
          <t>Form-map</t>
        </is>
      </c>
      <c r="C16" s="36" t="inlineStr">
        <is>
          <t>Form catalog C10; Profile A18</t>
        </is>
      </c>
      <c r="D16" s="36" t="inlineStr">
        <is>
          <t>C10 (1701-MS scope)</t>
        </is>
      </c>
      <c r="E16" s="36" t="inlineStr">
        <is>
          <t>Change scope 'Individual/Fiduciary' to 'Individual' (Annex C A7).</t>
        </is>
      </c>
      <c r="F16" s="36" t="inlineStr">
        <is>
          <t>REFUTED as stated (#60)</t>
        </is>
      </c>
      <c r="G16" s="36" t="inlineStr">
        <is>
          <t>NOT APPLIED (do not change)</t>
        </is>
      </c>
      <c r="H16" s="36" t="inlineStr">
        <is>
          <t>RMC 34-2025 Annex A item 3 includes trustees, guardians and executors where the estate or minor is in trade. The label 'Individual/Fiduciary' stays.</t>
        </is>
      </c>
    </row>
    <row r="17">
      <c r="A17" s="36" t="n">
        <v>13</v>
      </c>
      <c r="B17" s="36" t="inlineStr">
        <is>
          <t>Form-map</t>
        </is>
      </c>
      <c r="C17" s="36" t="inlineStr">
        <is>
          <t>Profile A18:A21 (checks a-e)</t>
        </is>
      </c>
      <c r="D17" s="36" t="inlineStr">
        <is>
          <t>A30:A33 (added)</t>
        </is>
      </c>
      <c r="E17" s="36" t="inlineStr">
        <is>
          <t>Add review checks (a)-(e) to A18:A21.</t>
        </is>
      </c>
      <c r="F17" s="36" t="inlineStr">
        <is>
          <t>PARTIAL: (c) CONFIRMED (#75); (a) REFUTED as worded (#60); (e) conflict CONFIRMED (#73, #84); (b) and (d) not verified</t>
        </is>
      </c>
      <c r="G17" s="36" t="inlineStr">
        <is>
          <t>APPLIED in part</t>
        </is>
      </c>
      <c r="H17" s="36" t="inlineStr">
        <is>
          <t>Added check (c) (mixed earners, no 250,000) and check (e) (8% and 2551Q conflict) as new rows 32 and 33. (a), (b), (d) not added.</t>
        </is>
      </c>
    </row>
    <row r="18">
      <c r="A18" s="36" t="n">
        <v>14</v>
      </c>
      <c r="B18" s="36" t="inlineStr">
        <is>
          <t>Form-map</t>
        </is>
      </c>
      <c r="C18" s="36" t="inlineStr">
        <is>
          <t>Profile C12; Form catalog A5</t>
        </is>
      </c>
      <c r="D18" s="36" t="inlineStr">
        <is>
          <t>-</t>
        </is>
      </c>
      <c r="E18" s="36" t="inlineStr">
        <is>
          <t>Wire Profile C12 into Form catalog A5 (1700 row).</t>
        </is>
      </c>
      <c r="F18" s="36" t="inlineStr">
        <is>
          <t>C12 unused CONFIRMED (#58); target REFUTED (#59: A5 is the header 'Form')</t>
        </is>
      </c>
      <c r="G18" s="36" t="inlineStr">
        <is>
          <t>NOT APPLIED (do not change)</t>
        </is>
      </c>
      <c r="H18" s="36" t="inlineStr">
        <is>
          <t>The target cell is the header, not the 1700 row. Profile C12 stays unwired until a 1700 row exists.</t>
        </is>
      </c>
    </row>
    <row r="19">
      <c r="A19" s="36" t="n">
        <v>15</v>
      </c>
      <c r="B19" s="36" t="inlineStr">
        <is>
          <t>Form-map-2</t>
        </is>
      </c>
      <c r="C19" s="36" t="inlineStr">
        <is>
          <t>8 percent example</t>
        </is>
      </c>
      <c r="D19" s="36" t="inlineStr">
        <is>
          <t>B14:E14, A15:E15</t>
        </is>
      </c>
      <c r="E19" s="36" t="inlineStr">
        <is>
          <t>Replace MAX(0, ...) with a signed formula; show overpayment on a separate line.</t>
        </is>
      </c>
      <c r="F19" s="36" t="inlineStr">
        <is>
          <t>CONFIRMED (#57)</t>
        </is>
      </c>
      <c r="G19" s="36" t="inlineStr">
        <is>
          <t>APPLIED</t>
        </is>
      </c>
      <c r="H19" s="36" t="inlineStr">
        <is>
          <t>B14:E14 = B11-B12-B13 (signed). Row 15 'Overpayment (separate line)' = MAX(0,-row 14). Values unchanged.</t>
        </is>
      </c>
    </row>
    <row r="20">
      <c r="A20" s="36" t="n">
        <v>16</v>
      </c>
      <c r="B20" s="36" t="inlineStr">
        <is>
          <t>Form-map</t>
        </is>
      </c>
      <c r="C20" s="36" t="inlineStr">
        <is>
          <t>Category field rules A7:B8, A16:A17</t>
        </is>
      </c>
      <c r="D20" s="36" t="inlineStr">
        <is>
          <t>-</t>
        </is>
      </c>
      <c r="E20" s="36" t="inlineStr">
        <is>
          <t>Add a regime filter (1701-MS I.12) to sales and refund rules for IV.5, IV.19, IV.6.</t>
        </is>
      </c>
      <c r="F20" s="36" t="inlineStr">
        <is>
          <t>Not in verify.md; sheets.md says PARTIAL</t>
        </is>
      </c>
      <c r="G20" s="36" t="inlineStr">
        <is>
          <t>NOT APPLIED (needs review)</t>
        </is>
      </c>
      <c r="H20" s="36" t="inlineStr">
        <is>
          <t>Rule text carries the filter in the rules file (1701MS.IV.5 selector). The workbook text is not changed until the engine's 8% behaviour is checked.</t>
        </is>
      </c>
    </row>
    <row r="21">
      <c r="A21" s="36" t="n">
        <v>17</v>
      </c>
      <c r="B21" s="36" t="inlineStr">
        <is>
          <t>Form-map</t>
        </is>
      </c>
      <c r="C21" s="36" t="inlineStr">
        <is>
          <t>Category field rules A42</t>
        </is>
      </c>
      <c r="D21" s="36" t="inlineStr">
        <is>
          <t>-</t>
        </is>
      </c>
      <c r="E21" s="36" t="inlineStr">
        <is>
          <t>depreciation_expense source should be the tax-depreciation schedule, not the GL account.</t>
        </is>
      </c>
      <c r="F21" s="36" t="inlineStr">
        <is>
          <t>Not in verify.md</t>
        </is>
      </c>
      <c r="G21" s="36" t="inlineStr">
        <is>
          <t>NOT APPLIED (needs review)</t>
        </is>
      </c>
      <c r="H21" s="36" t="inlineStr">
        <is>
          <t>Catalog row 43 already says 'Use fixed asset schedule and tax adjustment'. Rule text unchanged pending review.</t>
        </is>
      </c>
    </row>
    <row r="22">
      <c r="A22" s="36" t="n">
        <v>18</v>
      </c>
      <c r="B22" s="36" t="inlineStr">
        <is>
          <t>Form-map</t>
        </is>
      </c>
      <c r="C22" s="36" t="inlineStr">
        <is>
          <t>Category field rules A18:A21</t>
        </is>
      </c>
      <c r="D22" s="36" t="inlineStr">
        <is>
          <t>-</t>
        </is>
      </c>
      <c r="E22" s="36" t="inlineStr">
        <is>
          <t>Final-tax exclusion needs a tax attribute. Whether Books stores one is UNKNOWN.</t>
        </is>
      </c>
      <c r="F22" s="36" t="inlineStr">
        <is>
          <t>UNKNOWN (sheets.md s10); not in verify.md</t>
        </is>
      </c>
      <c r="G22" s="36" t="inlineStr">
        <is>
          <t>NOT APPLIED (open)</t>
        </is>
      </c>
      <c r="H22" s="36" t="inlineStr">
        <is>
          <t>Tax attribute final_tax_flag = unknown_not_stored (tax-attributes.v1.json).</t>
        </is>
      </c>
    </row>
    <row r="23">
      <c r="A23" s="36" t="n">
        <v>19</v>
      </c>
      <c r="B23" s="36" t="inlineStr">
        <is>
          <t>Form-map</t>
        </is>
      </c>
      <c r="C23" s="36" t="inlineStr">
        <is>
          <t>Category catalog C18, C19, C20, C21, C22, C28, C29, C42, C47</t>
        </is>
      </c>
      <c r="D23" s="36" t="inlineStr">
        <is>
          <t>Account type column</t>
        </is>
      </c>
      <c r="E23" s="36" t="inlineStr">
        <is>
          <t>Map labels to Books enum values: contra revenue -&gt; revenue (subtype refunds_discounts); other income -&gt; other_income; cost -&gt; cost_of_revenue; other expense -&gt; other_expense.</t>
        </is>
      </c>
      <c r="F23" s="36" t="inlineStr">
        <is>
          <t>Not in verify.md. W2 re-read of account-constants.ts:9-18 confirms the enum (asset, liability, equity, revenue, expense, cost_of_revenue, other_income, other_expense).</t>
        </is>
      </c>
      <c r="G23" s="36" t="inlineStr">
        <is>
          <t>APPLIED (W2 re-read)</t>
        </is>
      </c>
      <c r="H23" s="36" t="inlineStr">
        <is>
          <t>Nine cells changed. Contra-revenue detail moved to the checks column (I18).</t>
        </is>
      </c>
    </row>
    <row r="24">
      <c r="A24" s="36" t="n">
        <v>20</v>
      </c>
      <c r="B24" s="36" t="inlineStr">
        <is>
          <t>Form-map</t>
        </is>
      </c>
      <c r="C24" s="36" t="inlineStr">
        <is>
          <t>Category catalog A13 (owner_drawings)</t>
        </is>
      </c>
      <c r="D24" s="36" t="inlineStr">
        <is>
          <t>A13</t>
        </is>
      </c>
      <c r="E24" s="36" t="inlineStr">
        <is>
          <t>Decide reuse of owners_equity 32000 or keep a new key.</t>
        </is>
      </c>
      <c r="F24" s="36" t="inlineStr">
        <is>
          <t>Owner decision (sheets.md s6 #20)</t>
        </is>
      </c>
      <c r="G24" s="36" t="inlineStr">
        <is>
          <t>NOT APPLIED (owner decision)</t>
        </is>
      </c>
      <c r="H24" s="36" t="inlineStr">
        <is>
          <t>Recorded as PENDING_DECISION in categories.v1.json.</t>
        </is>
      </c>
    </row>
    <row r="25">
      <c r="A25" s="36" t="n">
        <v>21</v>
      </c>
      <c r="B25" s="36" t="inlineStr">
        <is>
          <t>Form-map</t>
        </is>
      </c>
      <c r="C25" s="36" t="inlineStr">
        <is>
          <t>Category catalog rows 65-67 (added)</t>
        </is>
      </c>
      <c r="D25" s="36" t="inlineStr">
        <is>
          <t>A65:I67</t>
        </is>
      </c>
      <c r="E25" s="36" t="inlineStr">
        <is>
          <t>Add rows for ph_employee_advances (12700), ph_employee_tax_advanced (12800) and ph_unrecovered_employee_tax (61950).</t>
        </is>
      </c>
      <c r="F25" s="36" t="inlineStr">
        <is>
          <t>CONFIRMED (#40)</t>
        </is>
      </c>
      <c r="G25" s="36" t="inlineStr">
        <is>
          <t>APPLIED</t>
        </is>
      </c>
      <c r="H25" s="36" t="inlineStr">
        <is>
          <t>Names and types from Books ph-chart.ts:84-104 and 232-245. Activation set to PAYROLL. Table range extended.</t>
        </is>
      </c>
    </row>
    <row r="26">
      <c r="A26" s="36" t="n">
        <v>22</v>
      </c>
      <c r="B26" s="36" t="inlineStr">
        <is>
          <t>Form-map-2</t>
        </is>
      </c>
      <c r="C26" s="36" t="inlineStr">
        <is>
          <t>Forms and timing D18</t>
        </is>
      </c>
      <c r="D26" s="36" t="inlineStr">
        <is>
          <t>-</t>
        </is>
      </c>
      <c r="E26" s="36" t="inlineStr">
        <is>
          <t>Add 'December -&gt; 15 January regardless of channel' and the eFPS group days to the 1601-C timing.</t>
        </is>
      </c>
      <c r="F26" s="36" t="inlineStr">
        <is>
          <t>UNCONFIRMED (#83: printed due text image-only). Code CONFIRMED (books.md s4a), not in verify.md</t>
        </is>
      </c>
      <c r="G26" s="36" t="inlineStr">
        <is>
          <t>NOT APPLIED (needs review)</t>
        </is>
      </c>
      <c r="H26" s="36" t="inlineStr">
        <is>
          <t>Due-date rule kept in rates-v1.json with status UNCONFIRMED for the printed text.</t>
        </is>
      </c>
    </row>
    <row r="27">
      <c r="A27" s="36" t="n">
        <v>23</v>
      </c>
      <c r="B27" s="36" t="inlineStr">
        <is>
          <t>Form-map-2</t>
        </is>
      </c>
      <c r="C27" s="36" t="inlineStr">
        <is>
          <t>Filer combinations F9</t>
        </is>
      </c>
      <c r="D27" s="36" t="inlineStr">
        <is>
          <t>-</t>
        </is>
      </c>
      <c r="E27" s="36" t="inlineStr">
        <is>
          <t>Change 'OSD is generally 40% of individual gross sales' to 40% of net sales.</t>
        </is>
      </c>
      <c r="F27" s="36" t="inlineStr">
        <is>
          <t>Not in verify.md. Printed Part I item 17 wording conflicts with Part IV item 11 (bir.md s2)</t>
        </is>
      </c>
      <c r="G27" s="36" t="inlineStr">
        <is>
          <t>NOT APPLIED (needs review)</t>
        </is>
      </c>
      <c r="H27" s="36" t="inlineStr">
        <is>
          <t>Conflict recorded in rates-v1.json (osd UNCONFIRMED).</t>
        </is>
      </c>
    </row>
    <row r="28">
      <c r="A28" s="36" t="n">
        <v>24</v>
      </c>
      <c r="B28" s="36" t="inlineStr">
        <is>
          <t>Form-map</t>
        </is>
      </c>
      <c r="C28" s="36" t="inlineStr">
        <is>
          <t>Build notes and sources C21</t>
        </is>
      </c>
      <c r="D28" s="36" t="inlineStr">
        <is>
          <t>C21</t>
        </is>
      </c>
      <c r="E28" s="36" t="inlineStr">
        <is>
          <t>State the 8% and 2551Q conflict: Books blocks 2551Q; buwiz-oss requires NIL PT010 rows.</t>
        </is>
      </c>
      <c r="F28" s="36" t="inlineStr">
        <is>
          <t>CONFLICT CONFIRMED (#73, #84); RR 8-2018 full text UNCONFIRMED</t>
        </is>
      </c>
      <c r="G28" s="36" t="inlineStr">
        <is>
          <t>APPLIED</t>
        </is>
      </c>
      <c r="H28" s="36" t="inlineStr">
        <is>
          <t>Note appended. Conflict stated, no side chosen.</t>
        </is>
      </c>
    </row>
    <row r="29">
      <c r="A29" s="36" t="n">
        <v>25</v>
      </c>
      <c r="B29" s="36" t="inlineStr">
        <is>
          <t>Form-map and Form-map-2</t>
        </is>
      </c>
      <c r="C29" s="36" t="inlineStr">
        <is>
          <t>Build notes and sources C16; Sources C8</t>
        </is>
      </c>
      <c r="D29" s="36" t="inlineStr">
        <is>
          <t>C16 (wb1), C8 (wb2)</t>
        </is>
      </c>
      <c r="E29" s="36" t="inlineStr">
        <is>
          <t>Caveat: Annex C covers the 2025 annual return filed in 2026.</t>
        </is>
      </c>
      <c r="F29" s="36" t="inlineStr">
        <is>
          <t>CONFIRMED (#80; #76)</t>
        </is>
      </c>
      <c r="G29" s="36" t="inlineStr">
        <is>
          <t>APPLIED</t>
        </is>
      </c>
      <c r="H29" s="36" t="inlineStr">
        <is>
          <t>Caveat appended to both cells. TY2026 applicability stays UNKNOWN.</t>
        </is>
      </c>
    </row>
    <row r="30">
      <c r="A30" s="36" t="n">
        <v>26</v>
      </c>
      <c r="B30" s="36" t="inlineStr">
        <is>
          <t>Form-map</t>
        </is>
      </c>
      <c r="C30" s="36" t="inlineStr">
        <is>
          <t>Build notes and sources C20</t>
        </is>
      </c>
      <c r="D30" s="36" t="inlineStr">
        <is>
          <t>C20</t>
        </is>
      </c>
      <c r="E30" s="36" t="inlineStr">
        <is>
          <t>Note that the 8% test includes other non-operating income in the Forms engine, and that Books omits it.</t>
        </is>
      </c>
      <c r="F30" s="36" t="inlineStr">
        <is>
          <t>CONFIRMED for Books (#36, #75). The Forms-engine line (form_1701ms.rs:49) is from sheets.md s5 only</t>
        </is>
      </c>
      <c r="G30" s="36" t="inlineStr">
        <is>
          <t>APPLIED (Books part only)</t>
        </is>
      </c>
      <c r="H30" s="36" t="inlineStr">
        <is>
          <t>Note appended for the Books omission. The Forms-engine line is not stated because verify.md did not check it.</t>
        </is>
      </c>
    </row>
    <row r="31">
      <c r="A31" s="36" t="n">
        <v>27</v>
      </c>
      <c r="B31" s="36" t="inlineStr">
        <is>
          <t>Form-map</t>
        </is>
      </c>
      <c r="C31" s="36" t="inlineStr">
        <is>
          <t>Build notes and sources C22</t>
        </is>
      </c>
      <c r="D31" s="36" t="inlineStr">
        <is>
          <t>C22</t>
        </is>
      </c>
      <c r="E31" s="36" t="inlineStr">
        <is>
          <t>'ComputedReturnForm lacks 1701-MS' is Books-only; buwiz-oss has form_1701ms.rs.</t>
        </is>
      </c>
      <c r="F31" s="36" t="inlineStr">
        <is>
          <t>CONFIRMED (#34); buwiz-oss copy of the schema is byte-identical (verify s3)</t>
        </is>
      </c>
      <c r="G31" s="36" t="inlineStr">
        <is>
          <t>APPLIED</t>
        </is>
      </c>
      <c r="H31" s="36" t="inlineStr">
        <is>
          <t>Note appended.</t>
        </is>
      </c>
    </row>
    <row r="32">
      <c r="A32" s="36" t="n">
        <v>28</v>
      </c>
      <c r="B32" s="36" t="inlineStr">
        <is>
          <t>Form-map</t>
        </is>
      </c>
      <c r="C32" s="36" t="inlineStr">
        <is>
          <t>2551Q fields C20 (I.13)</t>
        </is>
      </c>
      <c r="D32" s="36" t="inlineStr">
        <is>
          <t>C20</t>
        </is>
      </c>
      <c r="E32" s="36" t="inlineStr">
        <is>
          <t>Add the 'Not applicable' option (buwiz-oss taxRateNA).</t>
        </is>
      </c>
      <c r="F32" s="36" t="inlineStr">
        <is>
          <t>CONFIRMED that the pin has taxRateNA (#7); printed NA option UNCONFIRMED (bir.md s2)</t>
        </is>
      </c>
      <c r="G32" s="36" t="inlineStr">
        <is>
          <t>APPLIED (with caveat)</t>
        </is>
      </c>
      <c r="H32" s="36" t="inlineStr">
        <is>
          <t>Option text added to C20 with the caveat.</t>
        </is>
      </c>
    </row>
    <row r="33">
      <c r="A33" s="36" t="n">
        <v>29</v>
      </c>
      <c r="B33" s="36" t="inlineStr">
        <is>
          <t>Form-map</t>
        </is>
      </c>
      <c r="C33" s="36" t="inlineStr">
        <is>
          <t>2551Q fields, row 77 (added)</t>
        </is>
      </c>
      <c r="D33" s="36" t="inlineStr">
        <is>
          <t>A77:H77</t>
        </is>
      </c>
      <c r="E33" s="36" t="inlineStr">
        <is>
          <t>Add a 'Particular 28' row (txtParticular28) after III.28.</t>
        </is>
      </c>
      <c r="F33" s="36" t="inlineStr">
        <is>
          <t>CONFIRMED (#20)</t>
        </is>
      </c>
      <c r="G33" s="36" t="inlineStr">
        <is>
          <t>APPLIED</t>
        </is>
      </c>
      <c r="H33" s="36" t="inlineStr">
        <is>
          <t>Row appended after the last row (keeps IDs unique). Table range extended.</t>
        </is>
      </c>
    </row>
    <row r="34">
      <c r="A34" s="36" t="n">
        <v>30</v>
      </c>
      <c r="B34" s="36" t="inlineStr">
        <is>
          <t>Form-map</t>
        </is>
      </c>
      <c r="C34" s="36" t="inlineStr">
        <is>
          <t>1601-C fields B52 (III.39.bank)</t>
        </is>
      </c>
      <c r="D34" s="36" t="inlineStr">
        <is>
          <t>F52</t>
        </is>
      </c>
      <c r="E34" s="36" t="inlineStr">
        <is>
          <t>No drawee key for item 39. Drop the field or add the key in the Forms repo.</t>
        </is>
      </c>
      <c r="F34" s="36" t="inlineStr">
        <is>
          <t>CONFIRMED (#13)</t>
        </is>
      </c>
      <c r="G34" s="36" t="inlineStr">
        <is>
          <t>APPLIED as annotation (row kept)</t>
        </is>
      </c>
      <c r="H34" s="36" t="inlineStr">
        <is>
          <t>Row kept and annotated. Adding a Forms key is a Forms-repo change and was not made.</t>
        </is>
      </c>
    </row>
    <row r="35">
      <c r="A35" s="36" t="n">
        <v>31</v>
      </c>
      <c r="B35" s="36" t="inlineStr">
        <is>
          <t>Form-map</t>
        </is>
      </c>
      <c r="C35" s="36" t="inlineStr">
        <is>
          <t>1601-C fields, row 84 (added)</t>
        </is>
      </c>
      <c r="D35" s="36" t="inlineStr">
        <is>
          <t>A84:H84</t>
        </is>
      </c>
      <c r="E35" s="36" t="inlineStr">
        <is>
          <t>Add a 'Particular 40' row (txtParticular40).</t>
        </is>
      </c>
      <c r="F35" s="36" t="inlineStr">
        <is>
          <t>CONFIRMED (#13; verify s4: txtParticular40 unmapped)</t>
        </is>
      </c>
      <c r="G35" s="36" t="inlineStr">
        <is>
          <t>APPLIED</t>
        </is>
      </c>
      <c r="H35" s="36" t="inlineStr">
        <is>
          <t>Row appended. Table range extended.</t>
        </is>
      </c>
    </row>
    <row r="36">
      <c r="A36" s="36" t="n">
        <v>32</v>
      </c>
      <c r="B36" s="36" t="inlineStr">
        <is>
          <t>Form-map</t>
        </is>
      </c>
      <c r="C36" s="36" t="inlineStr">
        <is>
          <t>1701-MS fields B41, B42, B43</t>
        </is>
      </c>
      <c r="D36" s="36" t="inlineStr">
        <is>
          <t>B41:B43, C43</t>
        </is>
      </c>
      <c r="E36" s="36" t="inlineStr">
        <is>
          <t>II.35 should be II.33 per the schema (Item 33). II.34 has no schema key.</t>
        </is>
      </c>
      <c r="F36" s="36" t="inlineStr">
        <is>
          <t>CONFIRMED (verify s4 item 33; #14 II.34 missing)</t>
        </is>
      </c>
      <c r="G36" s="36" t="inlineStr">
        <is>
          <t>APPLIED</t>
        </is>
      </c>
      <c r="H36" s="36" t="inlineStr">
        <is>
          <t>B43 = 'II.33' (attachments). B41 marked 'II.33 (name, signature; unnumbered in schema)'. F42 notes the missing II.34 key.</t>
        </is>
      </c>
    </row>
    <row r="37">
      <c r="A37" s="36" t="n">
        <v>33</v>
      </c>
      <c r="B37" s="36" t="inlineStr">
        <is>
          <t>Form-map</t>
        </is>
      </c>
      <c r="C37" s="36" t="inlineStr">
        <is>
          <t>1701-MS fields B52 (III.38.bank) and row 101 (added)</t>
        </is>
      </c>
      <c r="D37" s="36" t="inlineStr">
        <is>
          <t>F52, A101:H101</t>
        </is>
      </c>
      <c r="E37" s="36" t="inlineStr">
        <is>
          <t>No tax-debit-memo drawee key. Add a row for III.39 'Other particulars' (txtOtherParticulars).</t>
        </is>
      </c>
      <c r="F37" s="36" t="inlineStr">
        <is>
          <t>CONFIRMED (verify s4 payment lines)</t>
        </is>
      </c>
      <c r="G37" s="36" t="inlineStr">
        <is>
          <t>APPLIED</t>
        </is>
      </c>
      <c r="H37" s="36" t="inlineStr">
        <is>
          <t>Annotation on F52. Row appended for txtOtherParticulars. Table range extended.</t>
        </is>
      </c>
    </row>
    <row r="38">
      <c r="A38" s="36" t="n">
        <v>34</v>
      </c>
      <c r="B38" s="36" t="inlineStr">
        <is>
          <t>Form-map</t>
        </is>
      </c>
      <c r="C38" s="36" t="inlineStr">
        <is>
          <t>1701-MS fields B22 -&gt; row 23 (I.18)</t>
        </is>
      </c>
      <c r="D38" s="36" t="inlineStr">
        <is>
          <t>F23</t>
        </is>
      </c>
      <c r="E38" s="36" t="inlineStr">
        <is>
          <t>List the official values II011 to II017.</t>
        </is>
      </c>
      <c r="F38" s="36" t="inlineStr">
        <is>
          <t>CONFIRMED (pinned schema box options). Sheets cites B22; the I.18 row is row 23</t>
        </is>
      </c>
      <c r="G38" s="36" t="inlineStr">
        <is>
          <t>APPLIED</t>
        </is>
      </c>
      <c r="H38" s="36" t="inlineStr">
        <is>
          <t>F23 lists II011-II017 and the binding detail. The off-by-one reference is recorded here.</t>
        </is>
      </c>
    </row>
    <row r="39">
      <c r="A39" s="36" t="n">
        <v>35</v>
      </c>
      <c r="B39" s="36" t="inlineStr">
        <is>
          <t>Form-map</t>
        </is>
      </c>
      <c r="C39" s="36" t="inlineStr">
        <is>
          <t>1601-C fields B26; 1701-MS fields B67</t>
        </is>
      </c>
      <c r="D39" s="36" t="inlineStr">
        <is>
          <t>-</t>
        </is>
      </c>
      <c r="E39" s="36" t="inlineStr">
        <is>
          <t>Keep the IDs. Rename /tax_19_sss_gsis and txtTaxableCompensationIncomeNo7a in the Forms repo.</t>
        </is>
      </c>
      <c r="F39" s="36" t="inlineStr">
        <is>
          <t>UNCONFIRMED (#16: renaming official keys is risky); #15 REFUTED ('bound' claim)</t>
        </is>
      </c>
      <c r="G39" s="36" t="inlineStr">
        <is>
          <t>NOT APPLIED (IDs kept; no Forms rename)</t>
        </is>
      </c>
      <c r="H39" s="36" t="inlineStr">
        <is>
          <t>No cell changed. The renames are not made.</t>
        </is>
      </c>
    </row>
    <row r="40">
      <c r="A40" s="36" t="n">
        <v>36</v>
      </c>
      <c r="B40" s="36" t="inlineStr">
        <is>
          <t>Form-map</t>
        </is>
      </c>
      <c r="C40" s="36" t="inlineStr">
        <is>
          <t>Worked example C7 (290,000 base after a 10,000 return)</t>
        </is>
      </c>
      <c r="D40" s="36" t="inlineStr">
        <is>
          <t>C7</t>
        </is>
      </c>
      <c r="E40" s="36" t="inlineStr">
        <is>
          <t>Extra (not in sheets.md s6): bir.md PT-8 finds no printed deduction for sales returns in the 2551Q instructions read.</t>
        </is>
      </c>
      <c r="F40" s="36" t="inlineStr">
        <is>
          <t>Not in verify.md; bir.md PT-8 UNVERIFIED</t>
        </is>
      </c>
      <c r="G40" s="36" t="inlineStr">
        <is>
          <t>NOT APPLIED (needs review)</t>
        </is>
      </c>
      <c r="H40" s="36" t="inlineStr">
        <is>
          <t>Base 290,000 comes from SUMIFS minus the return. Treatment of returns is open (decision D20).</t>
        </is>
      </c>
    </row>
    <row r="41">
      <c r="A41" s="36" t="n">
        <v>37</v>
      </c>
      <c r="B41" s="36" t="inlineStr">
        <is>
          <t>Form-map</t>
        </is>
      </c>
      <c r="C41" s="36" t="inlineStr">
        <is>
          <t>1701-MS fields E99 / Worked example V.10</t>
        </is>
      </c>
      <c r="D41" s="36" t="inlineStr">
        <is>
          <t>-</t>
        </is>
      </c>
      <c r="E41" s="36" t="inlineStr">
        <is>
          <t>Extra: the printed Part V item 10 total is V.10. The workbook's worked example does not sum V.1 to V.9.</t>
        </is>
      </c>
      <c r="F41" s="36" t="inlineStr">
        <is>
          <t>UNCONFIRMED (#54)</t>
        </is>
      </c>
      <c r="G41" s="36" t="inlineStr">
        <is>
          <t>NOT APPLIED (needs review)</t>
        </is>
      </c>
      <c r="H41" s="36" t="inlineStr">
        <is>
          <t>See item 6.</t>
        </is>
      </c>
    </row>
    <row r="42">
      <c r="A42" s="36" t="n">
        <v>38</v>
      </c>
      <c r="B42" s="36" t="inlineStr">
        <is>
          <t>Form-map</t>
        </is>
      </c>
      <c r="C42" s="36" t="inlineStr">
        <is>
          <t>1701-MS fields row 33 (IV.8) and row 35 (IV.10A)</t>
        </is>
      </c>
      <c r="D42" s="36" t="inlineStr">
        <is>
          <t>-</t>
        </is>
      </c>
      <c r="E42" s="36" t="inlineStr">
        <is>
          <t>Extra: the printed Part I item 17 '40% of gross sales' wording conflicts with IV.11 '40% of IV.7' (bir.md s2).</t>
        </is>
      </c>
      <c r="F42" s="36" t="inlineStr">
        <is>
          <t>Not in verify.md</t>
        </is>
      </c>
      <c r="G42" s="36" t="inlineStr">
        <is>
          <t>NOT APPLIED (needs review)</t>
        </is>
      </c>
      <c r="H42" s="36" t="inlineStr">
        <is>
          <t>Recorded in rates-v1.json (osd UNCONFIRMED).</t>
        </is>
      </c>
    </row>
    <row r="43">
      <c r="A43" s="36" t="n">
        <v>39</v>
      </c>
      <c r="B43" s="36" t="inlineStr">
        <is>
          <t>Form-map</t>
        </is>
      </c>
      <c r="C43" s="36" t="inlineStr">
        <is>
          <t>Form-map 2551Q: txt15, II.15</t>
        </is>
      </c>
      <c r="D43" s="36" t="inlineStr">
        <is>
          <t>-</t>
        </is>
      </c>
      <c r="E43" s="36" t="inlineStr">
        <is>
          <t>Extra: the verified schema key frm2551Qv2018:txt15 is accepted; bare txt15 is refused. No workbook cell claims a bare key.</t>
        </is>
      </c>
      <c r="F43" s="36" t="inlineStr">
        <is>
          <t>CONFIRMED (verify s1 #1, s2 #4)</t>
        </is>
      </c>
      <c r="G43" s="36" t="inlineStr">
        <is>
          <t>NO CHANGE</t>
        </is>
      </c>
      <c r="H43" s="36" t="inlineStr">
        <is>
          <t>Recorded so no one 'fixes' the sheet IDs into keys without the prefix.</t>
        </is>
      </c>
    </row>
    <row r="44">
      <c r="A44" s="36" t="n">
        <v>40</v>
      </c>
      <c r="B44" s="36" t="inlineStr">
        <is>
          <t>Both</t>
        </is>
      </c>
      <c r="C44" s="36" t="inlineStr">
        <is>
          <t>All field-tab ID cells (H.1 ... III.40.bank)</t>
        </is>
      </c>
      <c r="D44" s="36" t="inlineStr">
        <is>
          <t>-</t>
        </is>
      </c>
      <c r="E44" s="36" t="inlineStr">
        <is>
          <t>Field-key replacement: replace any cell that claims an API key with the verified key.</t>
        </is>
      </c>
      <c r="F44" s="36" t="inlineStr">
        <is>
          <t>Checked: no cell in the workbook claims an API key. Field IDs are spreadsheet labels (sheets.md s3)</t>
        </is>
      </c>
      <c r="G44" s="36" t="inlineStr">
        <is>
          <t>NO CHANGE</t>
        </is>
      </c>
      <c r="H44" s="36" t="inlineStr">
        <is>
          <t>Verified official keys are in data/crosswalk/*.json. The sheet IDs stay as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2026-10-29T06:02:35Z</dcterms:created>
  <dcterms:modified xsi:type="dcterms:W3CDTF">2026-10-29T06:02:35Z</dcterms:modified>
</cp:coreProperties>
</file>